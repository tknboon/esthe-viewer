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fee36b6b04e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fce13b5bb7224ced"/>
    <x:sheet xmlns:r="http://schemas.openxmlformats.org/officeDocument/2006/relationships" name="Holidays" sheetId="2" r:id="Ra5a601f743d64675"/>
    <x:sheet xmlns:r="http://schemas.openxmlformats.org/officeDocument/2006/relationships" name="Requests" sheetId="3" r:id="Re992f4d29760452b"/>
    <x:sheet xmlns:r="http://schemas.openxmlformats.org/officeDocument/2006/relationships" name="Schedule" sheetId="4" r:id="R9cbec4283718463b"/>
    <x:sheet xmlns:r="http://schemas.openxmlformats.org/officeDocument/2006/relationships" name="Summary" sheetId="5" r:id="R0a101e8bf1c84d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/mm/dd"/>
    <x:numFmt numFmtId="201" formatCode="m/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</x:fills>
  <x:borders count="2">
    <x:border/>
    <x:border>
      <x:left/>
      <x:right/>
      <x:top/>
      <x:bottom/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horizontal="center"/>
    </x:xf>
    <x:xf numFmtId="201" fontId="2" fillId="3" borderId="1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7F7F"/>
      </x:font>
      <x:fill>
        <x:patternFill patternType="solid">
          <x:bgColor rgb="FFF2F2F2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bf07c04ab4e63" /><Relationship Type="http://schemas.openxmlformats.org/officeDocument/2006/relationships/theme" Target="/xl/theme/theme1.xml" Id="R8b02f0efd4ad481d" /><Relationship Type="http://schemas.openxmlformats.org/officeDocument/2006/relationships/sharedStrings" Target="/xl/sharedStrings.xml" Id="R4d43ad5b24314f11" /><Relationship Type="http://schemas.openxmlformats.org/officeDocument/2006/relationships/worksheet" Target="/xl/worksheets/sheet1.xml" Id="Rfce13b5bb7224ced" /><Relationship Type="http://schemas.openxmlformats.org/officeDocument/2006/relationships/worksheet" Target="/xl/worksheets/sheet2.xml" Id="Ra5a601f743d64675" /><Relationship Type="http://schemas.openxmlformats.org/officeDocument/2006/relationships/worksheet" Target="/xl/worksheets/sheet3.xml" Id="Re992f4d29760452b" /><Relationship Type="http://schemas.openxmlformats.org/officeDocument/2006/relationships/worksheet" Target="/xl/worksheets/sheet4.xml" Id="R9cbec4283718463b" /><Relationship Type="http://schemas.openxmlformats.org/officeDocument/2006/relationships/worksheet" Target="/xl/worksheets/sheet5.xml" Id="R0a101e8bf1c84d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ee74ec256564d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スタッフ別 日勤日数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日勤日数</c:v>
          </c:tx>
          <c:cat>
            <c:strRef>
              <c:f>'Summary'!$A$4:$A$8</c:f>
              <c:strCache>
                <c:ptCount val="0"/>
              </c:strCache>
            </c:strRef>
          </c:cat>
          <c:val>
            <c:numRef>
              <c:f>'Summary'!$B$4:$B$8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e74ec256564de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cbc82200e79d44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799991607666" hidden="0" customWidth="1"/>
    <x:col min="2" max="2" width="16.8799991607666" hidden="0" customWidth="1"/>
    <x:col min="4" max="4" width="6.880000114440918" hidden="0" customWidth="1"/>
    <x:col min="5" max="5" width="41.25" hidden="0" customWidth="1"/>
  </x:cols>
  <x:sheetData>
    <x:row r="1">
      <x:c r="A1" s="8" t="str">
        <x:v>勤務シフト表 自動作成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対象年</x:v>
      </x:c>
      <x:c r="B3" s="9" t="n">
        <x:v>2026</x:v>
      </x:c>
      <x:c r="C3" s="9"/>
      <x:c r="D3" s="11" t="str">
        <x:v>使い方</x:v>
      </x:c>
      <x:c r="E3" s="11" t="str"/>
      <x:c r="F3" s="11" t="str"/>
    </x:row>
    <x:row r="4">
      <x:c r="A4" s="10" t="str">
        <x:v>対象月</x:v>
      </x:c>
      <x:c r="B4" s="9" t="n">
        <x:v>6</x:v>
      </x:c>
      <x:c r="C4" s="9"/>
      <x:c r="D4" s="12" t="str">
        <x:v>1</x:v>
      </x:c>
      <x:c r="E4" s="9" t="str">
        <x:v>Settingsで対象年月・必要人数・スタッフ名を編集</x:v>
      </x:c>
      <x:c r="F4" s="9" t="str"/>
    </x:row>
    <x:row r="5">
      <x:c r="A5" s="10" t="str">
        <x:v>平日の必要人数</x:v>
      </x:c>
      <x:c r="B5" s="9" t="n">
        <x:v>2</x:v>
      </x:c>
      <x:c r="C5" s="9"/>
      <x:c r="D5" s="12" t="str">
        <x:v>2</x:v>
      </x:c>
      <x:c r="E5" s="9" t="str">
        <x:v>Holidaysに祝日を入力</x:v>
      </x:c>
      <x:c r="F5" s="9" t="str"/>
    </x:row>
    <x:row r="6">
      <x:c r="A6" s="10" t="str">
        <x:v>土日祝の必要人数</x:v>
      </x:c>
      <x:c r="B6" s="9" t="n">
        <x:v>3</x:v>
      </x:c>
      <x:c r="C6" s="9"/>
      <x:c r="D6" s="12" t="str">
        <x:v>3</x:v>
      </x:c>
      <x:c r="E6" s="9" t="str">
        <x:v>Requestsで希望休に「休」と入力</x:v>
      </x:c>
      <x:c r="F6" s="9" t="str"/>
    </x:row>
    <x:row r="7">
      <x:c r="A7" s="10" t="str">
        <x:v>最大連勤</x:v>
      </x:c>
      <x:c r="B7" s="9" t="n">
        <x:v>4</x:v>
      </x:c>
      <x:c r="C7" s="9"/>
      <x:c r="D7" s="12" t="str">
        <x:v>4</x:v>
      </x:c>
      <x:c r="E7" s="9" t="str">
        <x:v>Scheduleが横型で自動表示</x:v>
      </x:c>
      <x:c r="F7" s="9" t="str"/>
    </x:row>
    <x:row r="8">
      <x:c r="A8" s="9"/>
      <x:c r="B8" s="9"/>
      <x:c r="C8" s="9"/>
      <x:c r="D8" s="12" t="str">
        <x:v>5</x:v>
      </x:c>
      <x:c r="E8" s="9" t="str">
        <x:v>土日祝の休は次の平日に振休として表示</x:v>
      </x:c>
      <x:c r="F8" s="9" t="str"/>
    </x:row>
    <x:row r="9">
      <x:c r="A9" s="11" t="str">
        <x:v>スタッフID</x:v>
      </x:c>
      <x:c r="B9" s="11" t="str">
        <x:v>スタッフ名</x:v>
      </x:c>
      <x:c r="C9" s="9"/>
      <x:c r="D9" s="12" t="str">
        <x:v>6</x:v>
      </x:c>
      <x:c r="E9" s="9" t="str">
        <x:v>振休セルには元日付が表示されます</x:v>
      </x:c>
      <x:c r="F9" s="9" t="str"/>
    </x:row>
    <x:row r="10">
      <x:c r="A10" s="9" t="n">
        <x:v>1</x:v>
      </x:c>
      <x:c r="B10" s="9" t="str">
        <x:v>スタッフA</x:v>
      </x:c>
      <x:c r="C10" s="9"/>
      <x:c r="D10" s="9"/>
      <x:c r="E10" s="9"/>
      <x:c r="F10" s="9"/>
    </x:row>
    <x:row r="11">
      <x:c r="A11" s="9" t="n">
        <x:v>2</x:v>
      </x:c>
      <x:c r="B11" s="9" t="str">
        <x:v>スタッフB</x:v>
      </x:c>
      <x:c r="C11" s="9"/>
      <x:c r="D11" s="9"/>
      <x:c r="E11" s="9"/>
      <x:c r="F11" s="9"/>
    </x:row>
    <x:row r="12">
      <x:c r="A12" s="9" t="n">
        <x:v>3</x:v>
      </x:c>
      <x:c r="B12" s="9" t="str">
        <x:v>スタッフC</x:v>
      </x:c>
      <x:c r="C12" s="9"/>
      <x:c r="D12" s="9"/>
      <x:c r="E12" s="9"/>
      <x:c r="F12" s="9"/>
    </x:row>
    <x:row r="13">
      <x:c r="A13" s="9" t="n">
        <x:v>4</x:v>
      </x:c>
      <x:c r="B13" s="9" t="str">
        <x:v>スタッフD</x:v>
      </x:c>
      <x:c r="C13" s="9"/>
      <x:c r="D13" s="9"/>
      <x:c r="E13" s="9"/>
      <x:c r="F13" s="9"/>
    </x:row>
    <x:row r="14">
      <x:c r="A14" s="9" t="n">
        <x:v>5</x:v>
      </x:c>
      <x:c r="B14" s="9" t="str">
        <x:v>スタッフE</x:v>
      </x:c>
      <x:c r="C14" s="9"/>
      <x:c r="D14" s="9"/>
      <x:c r="E14" s="9"/>
      <x:c r="F14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18.75" hidden="0" customWidth="1"/>
    <x:col min="4" max="4" width="41.25" hidden="0" customWidth="1"/>
  </x:cols>
  <x:sheetData>
    <x:row r="1">
      <x:c r="A1" s="14" t="str">
        <x:v>祝日入力</x:v>
      </x:c>
      <x:c r="B1" s="14"/>
      <x:c r="C1" s="14"/>
      <x:c r="D1" s="14"/>
    </x:row>
    <x:row r="3">
      <x:c r="A3" s="17" t="str">
        <x:v>祝日</x:v>
      </x:c>
      <x:c r="B3" s="17" t="str">
        <x:v>名称</x:v>
      </x:c>
      <x:c r="D3" t="str">
        <x:v>必要に応じて祝日を追加・修正してください。</x:v>
      </x:c>
    </x:row>
    <x:row r="4">
      <x:c r="A4" s="18" t="n">
        <x:v>46023</x:v>
      </x:c>
      <x:c r="B4" s="9" t="str">
        <x:v>元日</x:v>
      </x:c>
      <x:c r="D4" t="str">
        <x:v>祝日判定はこの一覧を参照します。</x:v>
      </x:c>
    </x:row>
    <x:row r="5">
      <x:c r="A5" s="18" t="n">
        <x:v>46034</x:v>
      </x:c>
      <x:c r="B5" s="9" t="str">
        <x:v>成人の日</x:v>
      </x:c>
      <x:c r="D5" t="str">
        <x:v>日付はExcelの日付形式で入力してください。</x:v>
      </x:c>
    </x:row>
    <x:row r="6">
      <x:c r="A6" s="18" t="n">
        <x:v>46064</x:v>
      </x:c>
      <x:c r="B6" s="9" t="str">
        <x:v>建国記念の日</x:v>
      </x:c>
      <x:c r="D6" t="str"/>
    </x:row>
    <x:row r="7">
      <x:c r="A7" s="18" t="n">
        <x:v>46076</x:v>
      </x:c>
      <x:c r="B7" s="9" t="str">
        <x:v>天皇誕生日</x:v>
      </x:c>
    </x:row>
    <x:row r="8">
      <x:c r="A8" s="18" t="n">
        <x:v>46101</x:v>
      </x:c>
      <x:c r="B8" s="9" t="str">
        <x:v>春分の日</x:v>
      </x:c>
    </x:row>
    <x:row r="9">
      <x:c r="A9" s="18" t="n">
        <x:v>46141</x:v>
      </x:c>
      <x:c r="B9" s="9" t="str">
        <x:v>昭和の日</x:v>
      </x:c>
    </x:row>
    <x:row r="10">
      <x:c r="A10" s="18" t="n">
        <x:v>46145</x:v>
      </x:c>
      <x:c r="B10" s="9" t="str">
        <x:v>憲法記念日</x:v>
      </x:c>
    </x:row>
    <x:row r="11">
      <x:c r="A11" s="18" t="n">
        <x:v>46146</x:v>
      </x:c>
      <x:c r="B11" s="9" t="str">
        <x:v>みどりの日</x:v>
      </x:c>
    </x:row>
    <x:row r="12">
      <x:c r="A12" s="18" t="n">
        <x:v>46147</x:v>
      </x:c>
      <x:c r="B12" s="9" t="str">
        <x:v>こどもの日</x:v>
      </x:c>
    </x:row>
    <x:row r="13">
      <x:c r="A13" s="18" t="n">
        <x:v>46148</x:v>
      </x:c>
      <x:c r="B13" s="9" t="str">
        <x:v>振替休日</x:v>
      </x:c>
    </x:row>
    <x:row r="14">
      <x:c r="A14" s="18" t="n">
        <x:v>46223</x:v>
      </x:c>
      <x:c r="B14" s="9" t="str">
        <x:v>海の日</x:v>
      </x:c>
    </x:row>
    <x:row r="15">
      <x:c r="A15" s="18" t="n">
        <x:v>46245</x:v>
      </x:c>
      <x:c r="B15" s="9" t="str">
        <x:v>山の日</x:v>
      </x:c>
    </x:row>
    <x:row r="16">
      <x:c r="A16" s="18" t="n">
        <x:v>46286</x:v>
      </x:c>
      <x:c r="B16" s="9" t="str">
        <x:v>敬老の日</x:v>
      </x:c>
    </x:row>
    <x:row r="17">
      <x:c r="A17" s="18" t="n">
        <x:v>46287</x:v>
      </x:c>
      <x:c r="B17" s="9" t="str">
        <x:v>国民の休日</x:v>
      </x:c>
    </x:row>
    <x:row r="18">
      <x:c r="A18" s="18" t="n">
        <x:v>46288</x:v>
      </x:c>
      <x:c r="B18" s="9" t="str">
        <x:v>秋分の日</x:v>
      </x:c>
    </x:row>
    <x:row r="19">
      <x:c r="A19" s="18" t="n">
        <x:v>46307</x:v>
      </x:c>
      <x:c r="B19" s="9" t="str">
        <x:v>スポーツの日</x:v>
      </x:c>
    </x:row>
    <x:row r="20">
      <x:c r="A20" s="18" t="n">
        <x:v>46329</x:v>
      </x:c>
      <x:c r="B20" s="9" t="str">
        <x:v>文化の日</x:v>
      </x:c>
    </x:row>
    <x:row r="21">
      <x:c r="A21" s="18" t="n">
        <x:v>46349</x:v>
      </x:c>
      <x:c r="B21" s="9" t="str">
        <x:v>勤労感謝の日</x:v>
      </x:c>
    </x:row>
    <x:row r="22">
      <x:c r="A22" s="18"/>
      <x:c r="B22" s="9" t="str"/>
    </x:row>
    <x:row r="23">
      <x:c r="A23" s="18"/>
      <x:c r="B23" s="9" t="str"/>
    </x:row>
    <x:row r="24">
      <x:c r="A24" s="18"/>
      <x:c r="B24" s="9"/>
    </x:row>
    <x:row r="25">
      <x:c r="A25" s="18"/>
      <x:c r="B25" s="9"/>
    </x:row>
    <x:row r="26">
      <x:c r="A26" s="18"/>
      <x:c r="B26" s="9"/>
    </x:row>
    <x:row r="27">
      <x:c r="A27" s="18"/>
      <x:c r="B27" s="9"/>
    </x:row>
    <x:row r="28">
      <x:c r="A28" s="18"/>
      <x:c r="B28" s="9"/>
    </x:row>
    <x:row r="29">
      <x:c r="A29" s="18"/>
      <x:c r="B29" s="9"/>
    </x:row>
    <x:row r="30">
      <x:c r="A30" s="18"/>
      <x:c r="B30" s="9"/>
    </x:row>
    <x:row r="31">
      <x:c r="A31" s="18"/>
      <x:c r="B31" s="9"/>
    </x:row>
    <x:row r="32">
      <x:c r="A32" s="18"/>
      <x:c r="B32" s="9"/>
    </x:row>
    <x:row r="33">
      <x:c r="A33" s="18"/>
      <x:c r="B33" s="9"/>
    </x:row>
    <x:row r="34">
      <x:c r="A34" s="18"/>
      <x:c r="B34" s="9"/>
    </x:row>
    <x:row r="35">
      <x:c r="A35" s="18"/>
      <x:c r="B35" s="9"/>
    </x:row>
    <x:row r="36">
      <x:c r="A36" s="18"/>
      <x:c r="B36" s="9"/>
    </x:row>
    <x:row r="37">
      <x:c r="A37" s="18"/>
      <x:c r="B37" s="9"/>
    </x:row>
    <x:row r="38">
      <x:c r="A38" s="18"/>
      <x:c r="B38" s="9"/>
    </x:row>
    <x:row r="39">
      <x:c r="A39" s="18"/>
      <x:c r="B39" s="9"/>
    </x:row>
    <x:row r="40">
      <x:c r="A40" s="18"/>
      <x:c r="B40" s="9"/>
    </x:row>
    <x:row r="41">
      <x:c r="A41" s="18"/>
      <x:c r="B41" s="9"/>
    </x:row>
    <x:row r="42">
      <x:c r="A42" s="18"/>
      <x:c r="B42" s="9"/>
    </x:row>
    <x:row r="43">
      <x:c r="A43" s="18"/>
      <x:c r="B43" s="9"/>
    </x:row>
    <x:row r="44">
      <x:c r="A44" s="18"/>
      <x:c r="B44" s="9"/>
    </x:row>
    <x:row r="45">
      <x:c r="A45" s="18"/>
      <x:c r="B45" s="9"/>
    </x:row>
    <x:row r="46">
      <x:c r="A46" s="18"/>
      <x:c r="B46" s="9"/>
    </x:row>
    <x:row r="47">
      <x:c r="A47" s="18"/>
      <x:c r="B47" s="9"/>
    </x:row>
    <x:row r="48">
      <x:c r="A48" s="18"/>
      <x:c r="B48" s="9"/>
    </x:row>
    <x:row r="49">
      <x:c r="A49" s="18"/>
      <x:c r="B49" s="9"/>
    </x:row>
    <x:row r="50">
      <x:c r="A50" s="18"/>
      <x:c r="B50" s="9"/>
    </x:row>
    <x:row r="51">
      <x:c r="A51" s="18"/>
      <x:c r="B51" s="9"/>
    </x:row>
    <x:row r="52">
      <x:c r="A52" s="18"/>
      <x:c r="B52" s="9"/>
    </x:row>
    <x:row r="53">
      <x:c r="A53" s="18"/>
      <x:c r="B53" s="9"/>
    </x:row>
    <x:row r="54">
      <x:c r="A54" s="18"/>
      <x:c r="B54" s="9"/>
    </x:row>
    <x:row r="55">
      <x:c r="A55" s="18"/>
      <x:c r="B55" s="9"/>
    </x:row>
    <x:row r="56">
      <x:c r="A56" s="18"/>
      <x:c r="B56" s="9"/>
    </x:row>
    <x:row r="57">
      <x:c r="A57" s="18"/>
      <x:c r="B57" s="9"/>
    </x:row>
    <x:row r="58">
      <x:c r="A58" s="18"/>
      <x:c r="B58" s="9"/>
    </x:row>
    <x:row r="59">
      <x:c r="A59" s="18"/>
      <x:c r="B59" s="9"/>
    </x:row>
    <x:row r="60">
      <x:c r="A60" s="18"/>
      <x:c r="B60" s="9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6.880000114440918" hidden="0" customWidth="1"/>
    <x:col min="5" max="5" width="6.880000114440918" hidden="0" customWidth="1"/>
    <x:col min="6" max="6" width="6.880000114440918" hidden="0" customWidth="1"/>
    <x:col min="7" max="7" width="6.880000114440918" hidden="0" customWidth="1"/>
    <x:col min="8" max="8" width="6.880000114440918" hidden="0" customWidth="1"/>
    <x:col min="9" max="9" width="6.880000114440918" hidden="0" customWidth="1"/>
    <x:col min="10" max="10" width="6.880000114440918" hidden="0" customWidth="1"/>
    <x:col min="11" max="11" width="6.880000114440918" hidden="0" customWidth="1"/>
    <x:col min="12" max="12" width="6.880000114440918" hidden="0" customWidth="1"/>
    <x:col min="13" max="13" width="6.880000114440918" hidden="0" customWidth="1"/>
    <x:col min="14" max="14" width="6.880000114440918" hidden="0" customWidth="1"/>
    <x:col min="15" max="15" width="6.880000114440918" hidden="0" customWidth="1"/>
    <x:col min="16" max="16" width="6.880000114440918" hidden="0" customWidth="1"/>
    <x:col min="17" max="17" width="6.880000114440918" hidden="0" customWidth="1"/>
    <x:col min="18" max="18" width="6.880000114440918" hidden="0" customWidth="1"/>
    <x:col min="19" max="19" width="6.880000114440918" hidden="0" customWidth="1"/>
    <x:col min="20" max="20" width="6.880000114440918" hidden="0" customWidth="1"/>
    <x:col min="21" max="21" width="6.880000114440918" hidden="0" customWidth="1"/>
    <x:col min="22" max="22" width="6.880000114440918" hidden="0" customWidth="1"/>
    <x:col min="23" max="23" width="6.880000114440918" hidden="0" customWidth="1"/>
    <x:col min="24" max="24" width="6.880000114440918" hidden="0" customWidth="1"/>
    <x:col min="25" max="25" width="6.880000114440918" hidden="0" customWidth="1"/>
    <x:col min="26" max="26" width="6.880000114440918" hidden="0" customWidth="1"/>
    <x:col min="27" max="27" width="6.880000114440918" hidden="0" customWidth="1"/>
    <x:col min="28" max="28" width="6.880000114440918" hidden="0" customWidth="1"/>
    <x:col min="29" max="29" width="6.880000114440918" hidden="0" customWidth="1"/>
    <x:col min="30" max="30" width="6.880000114440918" hidden="0" customWidth="1"/>
    <x:col min="31" max="31" width="6.880000114440918" hidden="0" customWidth="1"/>
    <x:col min="32" max="32" width="6.880000114440918" hidden="0" customWidth="1"/>
    <x:col min="33" max="33" width="6.880000114440918" hidden="0" customWidth="1"/>
    <x:col min="34" max="34" width="6.880000114440918" hidden="0" customWidth="1"/>
  </x:cols>
  <x:sheetData>
    <x:row r="1">
      <x:c r="A1" s="14" t="str">
        <x:v>希望休入力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  <x:c r="AC1" s="14"/>
      <x:c r="AD1" s="14"/>
      <x:c r="AE1" s="14"/>
      <x:c r="AF1" s="14"/>
      <x:c r="AG1" s="14"/>
      <x:c r="AH1" s="14"/>
    </x:row>
    <x:row r="3">
      <x:c r="A3" s="9" t="str"/>
      <x:c r="B3" s="9" t="str"/>
      <x:c r="C3" s="9" t="str"/>
      <x:c r="D3" s="22" t="n">
        <x:f>IF(MONTH(DATE(Settings!$B$3,Settings!$B$4,1))=Settings!$B$4,DATE(Settings!$B$3,Settings!$B$4,1),"")</x:f>
        <x:v>46174</x:v>
      </x:c>
      <x:c r="E3" s="22" t="n">
        <x:f>IF(MONTH(DATE(Settings!$B$3,Settings!$B$4,2))=Settings!$B$4,DATE(Settings!$B$3,Settings!$B$4,2),"")</x:f>
        <x:v>46175</x:v>
      </x:c>
      <x:c r="F3" s="22" t="n">
        <x:f>IF(MONTH(DATE(Settings!$B$3,Settings!$B$4,3))=Settings!$B$4,DATE(Settings!$B$3,Settings!$B$4,3),"")</x:f>
        <x:v>46176</x:v>
      </x:c>
      <x:c r="G3" s="22" t="n">
        <x:f>IF(MONTH(DATE(Settings!$B$3,Settings!$B$4,4))=Settings!$B$4,DATE(Settings!$B$3,Settings!$B$4,4),"")</x:f>
        <x:v>46177</x:v>
      </x:c>
      <x:c r="H3" s="22" t="n">
        <x:f>IF(MONTH(DATE(Settings!$B$3,Settings!$B$4,5))=Settings!$B$4,DATE(Settings!$B$3,Settings!$B$4,5),"")</x:f>
        <x:v>46178</x:v>
      </x:c>
      <x:c r="I3" s="22" t="n">
        <x:f>IF(MONTH(DATE(Settings!$B$3,Settings!$B$4,6))=Settings!$B$4,DATE(Settings!$B$3,Settings!$B$4,6),"")</x:f>
        <x:v>46179</x:v>
      </x:c>
      <x:c r="J3" s="22" t="n">
        <x:f>IF(MONTH(DATE(Settings!$B$3,Settings!$B$4,7))=Settings!$B$4,DATE(Settings!$B$3,Settings!$B$4,7),"")</x:f>
        <x:v>46180</x:v>
      </x:c>
      <x:c r="K3" s="22" t="n">
        <x:f>IF(MONTH(DATE(Settings!$B$3,Settings!$B$4,8))=Settings!$B$4,DATE(Settings!$B$3,Settings!$B$4,8),"")</x:f>
        <x:v>46181</x:v>
      </x:c>
      <x:c r="L3" s="22" t="n">
        <x:f>IF(MONTH(DATE(Settings!$B$3,Settings!$B$4,9))=Settings!$B$4,DATE(Settings!$B$3,Settings!$B$4,9),"")</x:f>
        <x:v>46182</x:v>
      </x:c>
      <x:c r="M3" s="22" t="n">
        <x:f>IF(MONTH(DATE(Settings!$B$3,Settings!$B$4,10))=Settings!$B$4,DATE(Settings!$B$3,Settings!$B$4,10),"")</x:f>
        <x:v>46183</x:v>
      </x:c>
      <x:c r="N3" s="22" t="n">
        <x:f>IF(MONTH(DATE(Settings!$B$3,Settings!$B$4,11))=Settings!$B$4,DATE(Settings!$B$3,Settings!$B$4,11),"")</x:f>
        <x:v>46184</x:v>
      </x:c>
      <x:c r="O3" s="22" t="n">
        <x:f>IF(MONTH(DATE(Settings!$B$3,Settings!$B$4,12))=Settings!$B$4,DATE(Settings!$B$3,Settings!$B$4,12),"")</x:f>
        <x:v>46185</x:v>
      </x:c>
      <x:c r="P3" s="22" t="n">
        <x:f>IF(MONTH(DATE(Settings!$B$3,Settings!$B$4,13))=Settings!$B$4,DATE(Settings!$B$3,Settings!$B$4,13),"")</x:f>
        <x:v>46186</x:v>
      </x:c>
      <x:c r="Q3" s="22" t="n">
        <x:f>IF(MONTH(DATE(Settings!$B$3,Settings!$B$4,14))=Settings!$B$4,DATE(Settings!$B$3,Settings!$B$4,14),"")</x:f>
        <x:v>46187</x:v>
      </x:c>
      <x:c r="R3" s="22" t="n">
        <x:f>IF(MONTH(DATE(Settings!$B$3,Settings!$B$4,15))=Settings!$B$4,DATE(Settings!$B$3,Settings!$B$4,15),"")</x:f>
        <x:v>46188</x:v>
      </x:c>
      <x:c r="S3" s="22" t="n">
        <x:f>IF(MONTH(DATE(Settings!$B$3,Settings!$B$4,16))=Settings!$B$4,DATE(Settings!$B$3,Settings!$B$4,16),"")</x:f>
        <x:v>46189</x:v>
      </x:c>
      <x:c r="T3" s="22" t="n">
        <x:f>IF(MONTH(DATE(Settings!$B$3,Settings!$B$4,17))=Settings!$B$4,DATE(Settings!$B$3,Settings!$B$4,17),"")</x:f>
        <x:v>46190</x:v>
      </x:c>
      <x:c r="U3" s="22" t="n">
        <x:f>IF(MONTH(DATE(Settings!$B$3,Settings!$B$4,18))=Settings!$B$4,DATE(Settings!$B$3,Settings!$B$4,18),"")</x:f>
        <x:v>46191</x:v>
      </x:c>
      <x:c r="V3" s="22" t="n">
        <x:f>IF(MONTH(DATE(Settings!$B$3,Settings!$B$4,19))=Settings!$B$4,DATE(Settings!$B$3,Settings!$B$4,19),"")</x:f>
        <x:v>46192</x:v>
      </x:c>
      <x:c r="W3" s="22" t="n">
        <x:f>IF(MONTH(DATE(Settings!$B$3,Settings!$B$4,20))=Settings!$B$4,DATE(Settings!$B$3,Settings!$B$4,20),"")</x:f>
        <x:v>46193</x:v>
      </x:c>
      <x:c r="X3" s="22" t="n">
        <x:f>IF(MONTH(DATE(Settings!$B$3,Settings!$B$4,21))=Settings!$B$4,DATE(Settings!$B$3,Settings!$B$4,21),"")</x:f>
        <x:v>46194</x:v>
      </x:c>
      <x:c r="Y3" s="22" t="n">
        <x:f>IF(MONTH(DATE(Settings!$B$3,Settings!$B$4,22))=Settings!$B$4,DATE(Settings!$B$3,Settings!$B$4,22),"")</x:f>
        <x:v>46195</x:v>
      </x:c>
      <x:c r="Z3" s="22" t="n">
        <x:f>IF(MONTH(DATE(Settings!$B$3,Settings!$B$4,23))=Settings!$B$4,DATE(Settings!$B$3,Settings!$B$4,23),"")</x:f>
        <x:v>46196</x:v>
      </x:c>
      <x:c r="AA3" s="22" t="n">
        <x:f>IF(MONTH(DATE(Settings!$B$3,Settings!$B$4,24))=Settings!$B$4,DATE(Settings!$B$3,Settings!$B$4,24),"")</x:f>
        <x:v>46197</x:v>
      </x:c>
      <x:c r="AB3" s="22" t="n">
        <x:f>IF(MONTH(DATE(Settings!$B$3,Settings!$B$4,25))=Settings!$B$4,DATE(Settings!$B$3,Settings!$B$4,25),"")</x:f>
        <x:v>46198</x:v>
      </x:c>
      <x:c r="AC3" s="22" t="n">
        <x:f>IF(MONTH(DATE(Settings!$B$3,Settings!$B$4,26))=Settings!$B$4,DATE(Settings!$B$3,Settings!$B$4,26),"")</x:f>
        <x:v>46199</x:v>
      </x:c>
      <x:c r="AD3" s="22" t="n">
        <x:f>IF(MONTH(DATE(Settings!$B$3,Settings!$B$4,27))=Settings!$B$4,DATE(Settings!$B$3,Settings!$B$4,27),"")</x:f>
        <x:v>46200</x:v>
      </x:c>
      <x:c r="AE3" s="22" t="n">
        <x:f>IF(MONTH(DATE(Settings!$B$3,Settings!$B$4,28))=Settings!$B$4,DATE(Settings!$B$3,Settings!$B$4,28),"")</x:f>
        <x:v>46201</x:v>
      </x:c>
      <x:c r="AF3" s="22" t="n">
        <x:f>IF(MONTH(DATE(Settings!$B$3,Settings!$B$4,29))=Settings!$B$4,DATE(Settings!$B$3,Settings!$B$4,29),"")</x:f>
        <x:v>46202</x:v>
      </x:c>
      <x:c r="AG3" s="22" t="n">
        <x:f>IF(MONTH(DATE(Settings!$B$3,Settings!$B$4,30))=Settings!$B$4,DATE(Settings!$B$3,Settings!$B$4,30),"")</x:f>
        <x:v>46203</x:v>
      </x:c>
      <x:c r="AH3" s="22" t="str">
        <x:f>IF(MONTH(DATE(Settings!$B$3,Settings!$B$4,31))=Settings!$B$4,DATE(Settings!$B$3,Settings!$B$4,31),"")</x:f>
      </x:c>
    </x:row>
    <x:row r="4">
      <x:c r="A4" s="9" t="str"/>
      <x:c r="B4" s="9" t="str"/>
      <x:c r="C4" s="9" t="str"/>
      <x:c r="D4" s="12" t="str">
        <x:f>IF(D3="","",CHOOSE(WEEKDAY(D3),"日","月","火","水","木","金","土"))</x:f>
        <x:v>月</x:v>
      </x:c>
      <x:c r="E4" s="12" t="str">
        <x:f>IF(E3="","",CHOOSE(WEEKDAY(E3),"日","月","火","水","木","金","土"))</x:f>
        <x:v>火</x:v>
      </x:c>
      <x:c r="F4" s="12" t="str">
        <x:f>IF(F3="","",CHOOSE(WEEKDAY(F3),"日","月","火","水","木","金","土"))</x:f>
        <x:v>水</x:v>
      </x:c>
      <x:c r="G4" s="12" t="str">
        <x:f>IF(G3="","",CHOOSE(WEEKDAY(G3),"日","月","火","水","木","金","土"))</x:f>
        <x:v>木</x:v>
      </x:c>
      <x:c r="H4" s="12" t="str">
        <x:f>IF(H3="","",CHOOSE(WEEKDAY(H3),"日","月","火","水","木","金","土"))</x:f>
        <x:v>金</x:v>
      </x:c>
      <x:c r="I4" s="12" t="str">
        <x:f>IF(I3="","",CHOOSE(WEEKDAY(I3),"日","月","火","水","木","金","土"))</x:f>
        <x:v>土</x:v>
      </x:c>
      <x:c r="J4" s="12" t="str">
        <x:f>IF(J3="","",CHOOSE(WEEKDAY(J3),"日","月","火","水","木","金","土"))</x:f>
        <x:v>日</x:v>
      </x:c>
      <x:c r="K4" s="12" t="str">
        <x:f>IF(K3="","",CHOOSE(WEEKDAY(K3),"日","月","火","水","木","金","土"))</x:f>
        <x:v>月</x:v>
      </x:c>
      <x:c r="L4" s="12" t="str">
        <x:f>IF(L3="","",CHOOSE(WEEKDAY(L3),"日","月","火","水","木","金","土"))</x:f>
        <x:v>火</x:v>
      </x:c>
      <x:c r="M4" s="12" t="str">
        <x:f>IF(M3="","",CHOOSE(WEEKDAY(M3),"日","月","火","水","木","金","土"))</x:f>
        <x:v>水</x:v>
      </x:c>
      <x:c r="N4" s="12" t="str">
        <x:f>IF(N3="","",CHOOSE(WEEKDAY(N3),"日","月","火","水","木","金","土"))</x:f>
        <x:v>木</x:v>
      </x:c>
      <x:c r="O4" s="12" t="str">
        <x:f>IF(O3="","",CHOOSE(WEEKDAY(O3),"日","月","火","水","木","金","土"))</x:f>
        <x:v>金</x:v>
      </x:c>
      <x:c r="P4" s="12" t="str">
        <x:f>IF(P3="","",CHOOSE(WEEKDAY(P3),"日","月","火","水","木","金","土"))</x:f>
        <x:v>土</x:v>
      </x:c>
      <x:c r="Q4" s="12" t="str">
        <x:f>IF(Q3="","",CHOOSE(WEEKDAY(Q3),"日","月","火","水","木","金","土"))</x:f>
        <x:v>日</x:v>
      </x:c>
      <x:c r="R4" s="12" t="str">
        <x:f>IF(R3="","",CHOOSE(WEEKDAY(R3),"日","月","火","水","木","金","土"))</x:f>
        <x:v>月</x:v>
      </x:c>
      <x:c r="S4" s="12" t="str">
        <x:f>IF(S3="","",CHOOSE(WEEKDAY(S3),"日","月","火","水","木","金","土"))</x:f>
        <x:v>火</x:v>
      </x:c>
      <x:c r="T4" s="12" t="str">
        <x:f>IF(T3="","",CHOOSE(WEEKDAY(T3),"日","月","火","水","木","金","土"))</x:f>
        <x:v>水</x:v>
      </x:c>
      <x:c r="U4" s="12" t="str">
        <x:f>IF(U3="","",CHOOSE(WEEKDAY(U3),"日","月","火","水","木","金","土"))</x:f>
        <x:v>木</x:v>
      </x:c>
      <x:c r="V4" s="12" t="str">
        <x:f>IF(V3="","",CHOOSE(WEEKDAY(V3),"日","月","火","水","木","金","土"))</x:f>
        <x:v>金</x:v>
      </x:c>
      <x:c r="W4" s="12" t="str">
        <x:f>IF(W3="","",CHOOSE(WEEKDAY(W3),"日","月","火","水","木","金","土"))</x:f>
        <x:v>土</x:v>
      </x:c>
      <x:c r="X4" s="12" t="str">
        <x:f>IF(X3="","",CHOOSE(WEEKDAY(X3),"日","月","火","水","木","金","土"))</x:f>
        <x:v>日</x:v>
      </x:c>
      <x:c r="Y4" s="12" t="str">
        <x:f>IF(Y3="","",CHOOSE(WEEKDAY(Y3),"日","月","火","水","木","金","土"))</x:f>
        <x:v>月</x:v>
      </x:c>
      <x:c r="Z4" s="12" t="str">
        <x:f>IF(Z3="","",CHOOSE(WEEKDAY(Z3),"日","月","火","水","木","金","土"))</x:f>
        <x:v>火</x:v>
      </x:c>
      <x:c r="AA4" s="12" t="str">
        <x:f>IF(AA3="","",CHOOSE(WEEKDAY(AA3),"日","月","火","水","木","金","土"))</x:f>
        <x:v>水</x:v>
      </x:c>
      <x:c r="AB4" s="12" t="str">
        <x:f>IF(AB3="","",CHOOSE(WEEKDAY(AB3),"日","月","火","水","木","金","土"))</x:f>
        <x:v>木</x:v>
      </x:c>
      <x:c r="AC4" s="12" t="str">
        <x:f>IF(AC3="","",CHOOSE(WEEKDAY(AC3),"日","月","火","水","木","金","土"))</x:f>
        <x:v>金</x:v>
      </x:c>
      <x:c r="AD4" s="12" t="str">
        <x:f>IF(AD3="","",CHOOSE(WEEKDAY(AD3),"日","月","火","水","木","金","土"))</x:f>
        <x:v>土</x:v>
      </x:c>
      <x:c r="AE4" s="12" t="str">
        <x:f>IF(AE3="","",CHOOSE(WEEKDAY(AE3),"日","月","火","水","木","金","土"))</x:f>
        <x:v>日</x:v>
      </x:c>
      <x:c r="AF4" s="12" t="str">
        <x:f>IF(AF3="","",CHOOSE(WEEKDAY(AF3),"日","月","火","水","木","金","土"))</x:f>
        <x:v>月</x:v>
      </x:c>
      <x:c r="AG4" s="12" t="str">
        <x:f>IF(AG3="","",CHOOSE(WEEKDAY(AG3),"日","月","火","水","木","金","土"))</x:f>
        <x:v>火</x:v>
      </x:c>
      <x:c r="AH4" s="12" t="str">
        <x:f>IF(AH3="","",CHOOSE(WEEKDAY(AH3),"日","月","火","水","木","金","土"))</x:f>
      </x:c>
    </x:row>
    <x:row r="5">
      <x:c r="A5" s="9" t="str"/>
      <x:c r="B5" s="9" t="str"/>
      <x:c r="C5" s="9" t="str"/>
      <x:c r="D5" s="12" t="str">
        <x:f>IF(D3="","",IF(OR(WEEKDAY(D3,2)&gt;=6,COUNTIF(Holidays!$A$4:$A$60,D3)&gt;0),"土日祝","平日"))</x:f>
        <x:v>平日</x:v>
      </x:c>
      <x:c r="E5" s="12" t="str">
        <x:f>IF(E3="","",IF(OR(WEEKDAY(E3,2)&gt;=6,COUNTIF(Holidays!$A$4:$A$60,E3)&gt;0),"土日祝","平日"))</x:f>
        <x:v>平日</x:v>
      </x:c>
      <x:c r="F5" s="12" t="str">
        <x:f>IF(F3="","",IF(OR(WEEKDAY(F3,2)&gt;=6,COUNTIF(Holidays!$A$4:$A$60,F3)&gt;0),"土日祝","平日"))</x:f>
        <x:v>平日</x:v>
      </x:c>
      <x:c r="G5" s="12" t="str">
        <x:f>IF(G3="","",IF(OR(WEEKDAY(G3,2)&gt;=6,COUNTIF(Holidays!$A$4:$A$60,G3)&gt;0),"土日祝","平日"))</x:f>
        <x:v>平日</x:v>
      </x:c>
      <x:c r="H5" s="12" t="str">
        <x:f>IF(H3="","",IF(OR(WEEKDAY(H3,2)&gt;=6,COUNTIF(Holidays!$A$4:$A$60,H3)&gt;0),"土日祝","平日"))</x:f>
        <x:v>平日</x:v>
      </x:c>
      <x:c r="I5" s="12" t="str">
        <x:f>IF(I3="","",IF(OR(WEEKDAY(I3,2)&gt;=6,COUNTIF(Holidays!$A$4:$A$60,I3)&gt;0),"土日祝","平日"))</x:f>
        <x:v>土日祝</x:v>
      </x:c>
      <x:c r="J5" s="12" t="str">
        <x:f>IF(J3="","",IF(OR(WEEKDAY(J3,2)&gt;=6,COUNTIF(Holidays!$A$4:$A$60,J3)&gt;0),"土日祝","平日"))</x:f>
        <x:v>土日祝</x:v>
      </x:c>
      <x:c r="K5" s="12" t="str">
        <x:f>IF(K3="","",IF(OR(WEEKDAY(K3,2)&gt;=6,COUNTIF(Holidays!$A$4:$A$60,K3)&gt;0),"土日祝","平日"))</x:f>
        <x:v>平日</x:v>
      </x:c>
      <x:c r="L5" s="12" t="str">
        <x:f>IF(L3="","",IF(OR(WEEKDAY(L3,2)&gt;=6,COUNTIF(Holidays!$A$4:$A$60,L3)&gt;0),"土日祝","平日"))</x:f>
        <x:v>平日</x:v>
      </x:c>
      <x:c r="M5" s="12" t="str">
        <x:f>IF(M3="","",IF(OR(WEEKDAY(M3,2)&gt;=6,COUNTIF(Holidays!$A$4:$A$60,M3)&gt;0),"土日祝","平日"))</x:f>
        <x:v>平日</x:v>
      </x:c>
      <x:c r="N5" s="12" t="str">
        <x:f>IF(N3="","",IF(OR(WEEKDAY(N3,2)&gt;=6,COUNTIF(Holidays!$A$4:$A$60,N3)&gt;0),"土日祝","平日"))</x:f>
        <x:v>平日</x:v>
      </x:c>
      <x:c r="O5" s="12" t="str">
        <x:f>IF(O3="","",IF(OR(WEEKDAY(O3,2)&gt;=6,COUNTIF(Holidays!$A$4:$A$60,O3)&gt;0),"土日祝","平日"))</x:f>
        <x:v>平日</x:v>
      </x:c>
      <x:c r="P5" s="12" t="str">
        <x:f>IF(P3="","",IF(OR(WEEKDAY(P3,2)&gt;=6,COUNTIF(Holidays!$A$4:$A$60,P3)&gt;0),"土日祝","平日"))</x:f>
        <x:v>土日祝</x:v>
      </x:c>
      <x:c r="Q5" s="12" t="str">
        <x:f>IF(Q3="","",IF(OR(WEEKDAY(Q3,2)&gt;=6,COUNTIF(Holidays!$A$4:$A$60,Q3)&gt;0),"土日祝","平日"))</x:f>
        <x:v>土日祝</x:v>
      </x:c>
      <x:c r="R5" s="12" t="str">
        <x:f>IF(R3="","",IF(OR(WEEKDAY(R3,2)&gt;=6,COUNTIF(Holidays!$A$4:$A$60,R3)&gt;0),"土日祝","平日"))</x:f>
        <x:v>平日</x:v>
      </x:c>
      <x:c r="S5" s="12" t="str">
        <x:f>IF(S3="","",IF(OR(WEEKDAY(S3,2)&gt;=6,COUNTIF(Holidays!$A$4:$A$60,S3)&gt;0),"土日祝","平日"))</x:f>
        <x:v>平日</x:v>
      </x:c>
      <x:c r="T5" s="12" t="str">
        <x:f>IF(T3="","",IF(OR(WEEKDAY(T3,2)&gt;=6,COUNTIF(Holidays!$A$4:$A$60,T3)&gt;0),"土日祝","平日"))</x:f>
        <x:v>平日</x:v>
      </x:c>
      <x:c r="U5" s="12" t="str">
        <x:f>IF(U3="","",IF(OR(WEEKDAY(U3,2)&gt;=6,COUNTIF(Holidays!$A$4:$A$60,U3)&gt;0),"土日祝","平日"))</x:f>
        <x:v>平日</x:v>
      </x:c>
      <x:c r="V5" s="12" t="str">
        <x:f>IF(V3="","",IF(OR(WEEKDAY(V3,2)&gt;=6,COUNTIF(Holidays!$A$4:$A$60,V3)&gt;0),"土日祝","平日"))</x:f>
        <x:v>平日</x:v>
      </x:c>
      <x:c r="W5" s="12" t="str">
        <x:f>IF(W3="","",IF(OR(WEEKDAY(W3,2)&gt;=6,COUNTIF(Holidays!$A$4:$A$60,W3)&gt;0),"土日祝","平日"))</x:f>
        <x:v>土日祝</x:v>
      </x:c>
      <x:c r="X5" s="12" t="str">
        <x:f>IF(X3="","",IF(OR(WEEKDAY(X3,2)&gt;=6,COUNTIF(Holidays!$A$4:$A$60,X3)&gt;0),"土日祝","平日"))</x:f>
        <x:v>土日祝</x:v>
      </x:c>
      <x:c r="Y5" s="12" t="str">
        <x:f>IF(Y3="","",IF(OR(WEEKDAY(Y3,2)&gt;=6,COUNTIF(Holidays!$A$4:$A$60,Y3)&gt;0),"土日祝","平日"))</x:f>
        <x:v>平日</x:v>
      </x:c>
      <x:c r="Z5" s="12" t="str">
        <x:f>IF(Z3="","",IF(OR(WEEKDAY(Z3,2)&gt;=6,COUNTIF(Holidays!$A$4:$A$60,Z3)&gt;0),"土日祝","平日"))</x:f>
        <x:v>平日</x:v>
      </x:c>
      <x:c r="AA5" s="12" t="str">
        <x:f>IF(AA3="","",IF(OR(WEEKDAY(AA3,2)&gt;=6,COUNTIF(Holidays!$A$4:$A$60,AA3)&gt;0),"土日祝","平日"))</x:f>
        <x:v>平日</x:v>
      </x:c>
      <x:c r="AB5" s="12" t="str">
        <x:f>IF(AB3="","",IF(OR(WEEKDAY(AB3,2)&gt;=6,COUNTIF(Holidays!$A$4:$A$60,AB3)&gt;0),"土日祝","平日"))</x:f>
        <x:v>平日</x:v>
      </x:c>
      <x:c r="AC5" s="12" t="str">
        <x:f>IF(AC3="","",IF(OR(WEEKDAY(AC3,2)&gt;=6,COUNTIF(Holidays!$A$4:$A$60,AC3)&gt;0),"土日祝","平日"))</x:f>
        <x:v>平日</x:v>
      </x:c>
      <x:c r="AD5" s="12" t="str">
        <x:f>IF(AD3="","",IF(OR(WEEKDAY(AD3,2)&gt;=6,COUNTIF(Holidays!$A$4:$A$60,AD3)&gt;0),"土日祝","平日"))</x:f>
        <x:v>土日祝</x:v>
      </x:c>
      <x:c r="AE5" s="12" t="str">
        <x:f>IF(AE3="","",IF(OR(WEEKDAY(AE3,2)&gt;=6,COUNTIF(Holidays!$A$4:$A$60,AE3)&gt;0),"土日祝","平日"))</x:f>
        <x:v>土日祝</x:v>
      </x:c>
      <x:c r="AF5" s="12" t="str">
        <x:f>IF(AF3="","",IF(OR(WEEKDAY(AF3,2)&gt;=6,COUNTIF(Holidays!$A$4:$A$60,AF3)&gt;0),"土日祝","平日"))</x:f>
        <x:v>平日</x:v>
      </x:c>
      <x:c r="AG5" s="12" t="str">
        <x:f>IF(AG3="","",IF(OR(WEEKDAY(AG3,2)&gt;=6,COUNTIF(Holidays!$A$4:$A$60,AG3)&gt;0),"土日祝","平日"))</x:f>
        <x:v>平日</x:v>
      </x:c>
      <x:c r="AH5" s="12" t="str">
        <x:f>IF(AH3="","",IF(OR(WEEKDAY(AH3,2)&gt;=6,COUNTIF(Holidays!$A$4:$A$60,AH3)&gt;0),"土日祝","平日"))</x:f>
      </x:c>
    </x:row>
    <x:row r="6">
      <x:c r="A6" s="17" t="str">
        <x:v>スタッフ名</x:v>
      </x:c>
      <x:c r="B6" s="17" t="str">
        <x:v>希望休数</x:v>
      </x:c>
      <x:c r="C6" s="17" t="str">
        <x:v>土日祝休数</x:v>
      </x:c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  <x:c r="AA6" s="17"/>
      <x:c r="AB6" s="17"/>
      <x:c r="AC6" s="17"/>
      <x:c r="AD6" s="17"/>
      <x:c r="AE6" s="17"/>
      <x:c r="AF6" s="17"/>
      <x:c r="AG6" s="17"/>
      <x:c r="AH6" s="17"/>
    </x:row>
    <x:row r="7">
      <x:c r="A7" s="9" t="str">
        <x:f>Settings!B10</x:f>
        <x:v>スタッフA</x:v>
      </x:c>
      <x:c r="B7" s="9" t="n">
        <x:f>COUNTIF(D7:AH7,"休")</x:f>
        <x:v>0</x:v>
      </x:c>
      <x:c r="C7" s="9" t="n">
        <x:f>SUMPRODUCT(--(D7:AH7="休"),--($D$5:$AH$5="土日祝"))</x:f>
        <x:v>0</x:v>
      </x:c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  <x:c r="AA7" s="23"/>
      <x:c r="AB7" s="23"/>
      <x:c r="AC7" s="23"/>
      <x:c r="AD7" s="23"/>
      <x:c r="AE7" s="23"/>
      <x:c r="AF7" s="23"/>
      <x:c r="AG7" s="23"/>
      <x:c r="AH7" s="23"/>
    </x:row>
    <x:row r="8">
      <x:c r="A8" s="9" t="str">
        <x:f>Settings!B11</x:f>
        <x:v>スタッフB</x:v>
      </x:c>
      <x:c r="B8" s="9" t="n">
        <x:f>COUNTIF(D8:AH8,"休")</x:f>
        <x:v>0</x:v>
      </x:c>
      <x:c r="C8" s="9" t="n">
        <x:f>SUMPRODUCT(--(D8:AH8="休"),--($D$5:$AH$5="土日祝"))</x:f>
        <x:v>0</x:v>
      </x:c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  <x:c r="AA8" s="23"/>
      <x:c r="AB8" s="23"/>
      <x:c r="AC8" s="23"/>
      <x:c r="AD8" s="23"/>
      <x:c r="AE8" s="23"/>
      <x:c r="AF8" s="23"/>
      <x:c r="AG8" s="23"/>
      <x:c r="AH8" s="23"/>
    </x:row>
    <x:row r="9">
      <x:c r="A9" s="9" t="str">
        <x:f>Settings!B12</x:f>
        <x:v>スタッフC</x:v>
      </x:c>
      <x:c r="B9" s="9" t="n">
        <x:f>COUNTIF(D9:AH9,"休")</x:f>
        <x:v>0</x:v>
      </x:c>
      <x:c r="C9" s="9" t="n">
        <x:f>SUMPRODUCT(--(D9:AH9="休"),--($D$5:$AH$5="土日祝"))</x:f>
        <x:v>0</x:v>
      </x:c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  <x:c r="AA9" s="23"/>
      <x:c r="AB9" s="23"/>
      <x:c r="AC9" s="23"/>
      <x:c r="AD9" s="23"/>
      <x:c r="AE9" s="23"/>
      <x:c r="AF9" s="23"/>
      <x:c r="AG9" s="23"/>
      <x:c r="AH9" s="23"/>
    </x:row>
    <x:row r="10">
      <x:c r="A10" s="9" t="str">
        <x:f>Settings!B13</x:f>
        <x:v>スタッフD</x:v>
      </x:c>
      <x:c r="B10" s="9" t="n">
        <x:f>COUNTIF(D10:AH10,"休")</x:f>
        <x:v>0</x:v>
      </x:c>
      <x:c r="C10" s="9" t="n">
        <x:f>SUMPRODUCT(--(D10:AH10="休"),--($D$5:$AH$5="土日祝"))</x:f>
        <x:v>0</x:v>
      </x:c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  <x:c r="AA10" s="23"/>
      <x:c r="AB10" s="23"/>
      <x:c r="AC10" s="23"/>
      <x:c r="AD10" s="23"/>
      <x:c r="AE10" s="23"/>
      <x:c r="AF10" s="23"/>
      <x:c r="AG10" s="23"/>
      <x:c r="AH10" s="23"/>
    </x:row>
    <x:row r="11">
      <x:c r="A11" s="9" t="str">
        <x:f>Settings!B14</x:f>
        <x:v>スタッフE</x:v>
      </x:c>
      <x:c r="B11" s="9" t="n">
        <x:f>COUNTIF(D11:AH11,"休")</x:f>
        <x:v>0</x:v>
      </x:c>
      <x:c r="C11" s="9" t="n">
        <x:f>SUMPRODUCT(--(D11:AH11="休"),--($D$5:$AH$5="土日祝"))</x:f>
        <x:v>0</x:v>
      </x:c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  <x:c r="AA11" s="23"/>
      <x:c r="AB11" s="23"/>
      <x:c r="AC11" s="23"/>
      <x:c r="AD11" s="23"/>
      <x:c r="AE11" s="23"/>
      <x:c r="AF11" s="23"/>
      <x:c r="AG11" s="23"/>
      <x:c r="AH11" s="23"/>
    </x:row>
  </x:sheetData>
  <x:mergeCells>
    <x:mergeCell ref="A1:AH1"/>
  </x:mergeCells>
  <x:dataValidations count="1">
    <x:dataValidation type="list" sqref="D7:AH11">
      <x:formula1>",休"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7.75" hidden="0" customWidth="1"/>
    <x:col min="5" max="5" width="7.75" hidden="0" customWidth="1"/>
    <x:col min="6" max="6" width="7.75" hidden="0" customWidth="1"/>
    <x:col min="7" max="7" width="7.75" hidden="0" customWidth="1"/>
    <x:col min="8" max="8" width="7.75" hidden="0" customWidth="1"/>
    <x:col min="9" max="9" width="7.75" hidden="0" customWidth="1"/>
    <x:col min="10" max="10" width="7.75" hidden="0" customWidth="1"/>
    <x:col min="11" max="11" width="7.75" hidden="0" customWidth="1"/>
    <x:col min="12" max="12" width="7.75" hidden="0" customWidth="1"/>
    <x:col min="13" max="13" width="7.75" hidden="0" customWidth="1"/>
    <x:col min="14" max="14" width="7.75" hidden="0" customWidth="1"/>
    <x:col min="15" max="15" width="7.75" hidden="0" customWidth="1"/>
    <x:col min="16" max="16" width="7.75" hidden="0" customWidth="1"/>
    <x:col min="17" max="17" width="7.75" hidden="0" customWidth="1"/>
    <x:col min="18" max="18" width="7.75" hidden="0" customWidth="1"/>
    <x:col min="19" max="19" width="7.75" hidden="0" customWidth="1"/>
    <x:col min="20" max="20" width="7.75" hidden="0" customWidth="1"/>
    <x:col min="21" max="21" width="7.75" hidden="0" customWidth="1"/>
    <x:col min="22" max="22" width="7.75" hidden="0" customWidth="1"/>
    <x:col min="23" max="23" width="7.75" hidden="0" customWidth="1"/>
    <x:col min="24" max="24" width="7.75" hidden="0" customWidth="1"/>
    <x:col min="25" max="25" width="7.75" hidden="0" customWidth="1"/>
    <x:col min="26" max="26" width="7.75" hidden="0" customWidth="1"/>
    <x:col min="27" max="27" width="7.75" hidden="0" customWidth="1"/>
    <x:col min="28" max="28" width="7.75" hidden="0" customWidth="1"/>
    <x:col min="29" max="29" width="7.75" hidden="0" customWidth="1"/>
    <x:col min="30" max="30" width="7.75" hidden="0" customWidth="1"/>
    <x:col min="31" max="31" width="7.75" hidden="0" customWidth="1"/>
    <x:col min="32" max="32" width="7.75" hidden="0" customWidth="1"/>
    <x:col min="33" max="33" width="7.75" hidden="0" customWidth="1"/>
    <x:col min="34" max="34" width="7.75" hidden="0" customWidth="1"/>
  </x:cols>
  <x:sheetData>
    <x:row r="1">
      <x:c r="A1" s="14" t="str">
        <x:v>勤務シフト表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  <x:c r="AC1" s="14"/>
      <x:c r="AD1" s="14"/>
      <x:c r="AE1" s="14"/>
      <x:c r="AF1" s="14"/>
      <x:c r="AG1" s="14"/>
      <x:c r="AH1" s="14"/>
    </x:row>
    <x:row r="3">
      <x:c r="A3" s="9" t="str"/>
      <x:c r="B3" s="9" t="str"/>
      <x:c r="C3" s="9" t="str"/>
      <x:c r="D3" s="22" t="n">
        <x:f>IF(Requests!D$3="","",Requests!D$3)</x:f>
        <x:v>46174</x:v>
      </x:c>
      <x:c r="E3" s="22" t="n">
        <x:f>IF(Requests!E$3="","",Requests!E$3)</x:f>
        <x:v>46175</x:v>
      </x:c>
      <x:c r="F3" s="22" t="n">
        <x:f>IF(Requests!F$3="","",Requests!F$3)</x:f>
        <x:v>46176</x:v>
      </x:c>
      <x:c r="G3" s="22" t="n">
        <x:f>IF(Requests!G$3="","",Requests!G$3)</x:f>
        <x:v>46177</x:v>
      </x:c>
      <x:c r="H3" s="22" t="n">
        <x:f>IF(Requests!H$3="","",Requests!H$3)</x:f>
        <x:v>46178</x:v>
      </x:c>
      <x:c r="I3" s="22" t="n">
        <x:f>IF(Requests!I$3="","",Requests!I$3)</x:f>
        <x:v>46179</x:v>
      </x:c>
      <x:c r="J3" s="22" t="n">
        <x:f>IF(Requests!J$3="","",Requests!J$3)</x:f>
        <x:v>46180</x:v>
      </x:c>
      <x:c r="K3" s="22" t="n">
        <x:f>IF(Requests!K$3="","",Requests!K$3)</x:f>
        <x:v>46181</x:v>
      </x:c>
      <x:c r="L3" s="22" t="n">
        <x:f>IF(Requests!L$3="","",Requests!L$3)</x:f>
        <x:v>46182</x:v>
      </x:c>
      <x:c r="M3" s="22" t="n">
        <x:f>IF(Requests!M$3="","",Requests!M$3)</x:f>
        <x:v>46183</x:v>
      </x:c>
      <x:c r="N3" s="22" t="n">
        <x:f>IF(Requests!N$3="","",Requests!N$3)</x:f>
        <x:v>46184</x:v>
      </x:c>
      <x:c r="O3" s="22" t="n">
        <x:f>IF(Requests!O$3="","",Requests!O$3)</x:f>
        <x:v>46185</x:v>
      </x:c>
      <x:c r="P3" s="22" t="n">
        <x:f>IF(Requests!P$3="","",Requests!P$3)</x:f>
        <x:v>46186</x:v>
      </x:c>
      <x:c r="Q3" s="22" t="n">
        <x:f>IF(Requests!Q$3="","",Requests!Q$3)</x:f>
        <x:v>46187</x:v>
      </x:c>
      <x:c r="R3" s="22" t="n">
        <x:f>IF(Requests!R$3="","",Requests!R$3)</x:f>
        <x:v>46188</x:v>
      </x:c>
      <x:c r="S3" s="22" t="n">
        <x:f>IF(Requests!S$3="","",Requests!S$3)</x:f>
        <x:v>46189</x:v>
      </x:c>
      <x:c r="T3" s="22" t="n">
        <x:f>IF(Requests!T$3="","",Requests!T$3)</x:f>
        <x:v>46190</x:v>
      </x:c>
      <x:c r="U3" s="22" t="n">
        <x:f>IF(Requests!U$3="","",Requests!U$3)</x:f>
        <x:v>46191</x:v>
      </x:c>
      <x:c r="V3" s="22" t="n">
        <x:f>IF(Requests!V$3="","",Requests!V$3)</x:f>
        <x:v>46192</x:v>
      </x:c>
      <x:c r="W3" s="22" t="n">
        <x:f>IF(Requests!W$3="","",Requests!W$3)</x:f>
        <x:v>46193</x:v>
      </x:c>
      <x:c r="X3" s="22" t="n">
        <x:f>IF(Requests!X$3="","",Requests!X$3)</x:f>
        <x:v>46194</x:v>
      </x:c>
      <x:c r="Y3" s="22" t="n">
        <x:f>IF(Requests!Y$3="","",Requests!Y$3)</x:f>
        <x:v>46195</x:v>
      </x:c>
      <x:c r="Z3" s="22" t="n">
        <x:f>IF(Requests!Z$3="","",Requests!Z$3)</x:f>
        <x:v>46196</x:v>
      </x:c>
      <x:c r="AA3" s="22" t="n">
        <x:f>IF(Requests!AA$3="","",Requests!AA$3)</x:f>
        <x:v>46197</x:v>
      </x:c>
      <x:c r="AB3" s="22" t="n">
        <x:f>IF(Requests!AB$3="","",Requests!AB$3)</x:f>
        <x:v>46198</x:v>
      </x:c>
      <x:c r="AC3" s="22" t="n">
        <x:f>IF(Requests!AC$3="","",Requests!AC$3)</x:f>
        <x:v>46199</x:v>
      </x:c>
      <x:c r="AD3" s="22" t="n">
        <x:f>IF(Requests!AD$3="","",Requests!AD$3)</x:f>
        <x:v>46200</x:v>
      </x:c>
      <x:c r="AE3" s="22" t="n">
        <x:f>IF(Requests!AE$3="","",Requests!AE$3)</x:f>
        <x:v>46201</x:v>
      </x:c>
      <x:c r="AF3" s="22" t="n">
        <x:f>IF(Requests!AF$3="","",Requests!AF$3)</x:f>
        <x:v>46202</x:v>
      </x:c>
      <x:c r="AG3" s="22" t="n">
        <x:f>IF(Requests!AG$3="","",Requests!AG$3)</x:f>
        <x:v>46203</x:v>
      </x:c>
      <x:c r="AH3" s="22" t="str">
        <x:f>IF(Requests!AH$3="","",Requests!AH$3)</x:f>
      </x:c>
    </x:row>
    <x:row r="4">
      <x:c r="A4" s="9" t="str"/>
      <x:c r="B4" s="9" t="str"/>
      <x:c r="C4" s="9" t="str"/>
      <x:c r="D4" s="12" t="str">
        <x:f>IF(D$3="","",Requests!D$4)</x:f>
        <x:v>月</x:v>
      </x:c>
      <x:c r="E4" s="12" t="str">
        <x:f>IF(E$3="","",Requests!E$4)</x:f>
        <x:v>火</x:v>
      </x:c>
      <x:c r="F4" s="12" t="str">
        <x:f>IF(F$3="","",Requests!F$4)</x:f>
        <x:v>水</x:v>
      </x:c>
      <x:c r="G4" s="12" t="str">
        <x:f>IF(G$3="","",Requests!G$4)</x:f>
        <x:v>木</x:v>
      </x:c>
      <x:c r="H4" s="12" t="str">
        <x:f>IF(H$3="","",Requests!H$4)</x:f>
        <x:v>金</x:v>
      </x:c>
      <x:c r="I4" s="12" t="str">
        <x:f>IF(I$3="","",Requests!I$4)</x:f>
        <x:v>土</x:v>
      </x:c>
      <x:c r="J4" s="12" t="str">
        <x:f>IF(J$3="","",Requests!J$4)</x:f>
        <x:v>日</x:v>
      </x:c>
      <x:c r="K4" s="12" t="str">
        <x:f>IF(K$3="","",Requests!K$4)</x:f>
        <x:v>月</x:v>
      </x:c>
      <x:c r="L4" s="12" t="str">
        <x:f>IF(L$3="","",Requests!L$4)</x:f>
        <x:v>火</x:v>
      </x:c>
      <x:c r="M4" s="12" t="str">
        <x:f>IF(M$3="","",Requests!M$4)</x:f>
        <x:v>水</x:v>
      </x:c>
      <x:c r="N4" s="12" t="str">
        <x:f>IF(N$3="","",Requests!N$4)</x:f>
        <x:v>木</x:v>
      </x:c>
      <x:c r="O4" s="12" t="str">
        <x:f>IF(O$3="","",Requests!O$4)</x:f>
        <x:v>金</x:v>
      </x:c>
      <x:c r="P4" s="12" t="str">
        <x:f>IF(P$3="","",Requests!P$4)</x:f>
        <x:v>土</x:v>
      </x:c>
      <x:c r="Q4" s="12" t="str">
        <x:f>IF(Q$3="","",Requests!Q$4)</x:f>
        <x:v>日</x:v>
      </x:c>
      <x:c r="R4" s="12" t="str">
        <x:f>IF(R$3="","",Requests!R$4)</x:f>
        <x:v>月</x:v>
      </x:c>
      <x:c r="S4" s="12" t="str">
        <x:f>IF(S$3="","",Requests!S$4)</x:f>
        <x:v>火</x:v>
      </x:c>
      <x:c r="T4" s="12" t="str">
        <x:f>IF(T$3="","",Requests!T$4)</x:f>
        <x:v>水</x:v>
      </x:c>
      <x:c r="U4" s="12" t="str">
        <x:f>IF(U$3="","",Requests!U$4)</x:f>
        <x:v>木</x:v>
      </x:c>
      <x:c r="V4" s="12" t="str">
        <x:f>IF(V$3="","",Requests!V$4)</x:f>
        <x:v>金</x:v>
      </x:c>
      <x:c r="W4" s="12" t="str">
        <x:f>IF(W$3="","",Requests!W$4)</x:f>
        <x:v>土</x:v>
      </x:c>
      <x:c r="X4" s="12" t="str">
        <x:f>IF(X$3="","",Requests!X$4)</x:f>
        <x:v>日</x:v>
      </x:c>
      <x:c r="Y4" s="12" t="str">
        <x:f>IF(Y$3="","",Requests!Y$4)</x:f>
        <x:v>月</x:v>
      </x:c>
      <x:c r="Z4" s="12" t="str">
        <x:f>IF(Z$3="","",Requests!Z$4)</x:f>
        <x:v>火</x:v>
      </x:c>
      <x:c r="AA4" s="12" t="str">
        <x:f>IF(AA$3="","",Requests!AA$4)</x:f>
        <x:v>水</x:v>
      </x:c>
      <x:c r="AB4" s="12" t="str">
        <x:f>IF(AB$3="","",Requests!AB$4)</x:f>
        <x:v>木</x:v>
      </x:c>
      <x:c r="AC4" s="12" t="str">
        <x:f>IF(AC$3="","",Requests!AC$4)</x:f>
        <x:v>金</x:v>
      </x:c>
      <x:c r="AD4" s="12" t="str">
        <x:f>IF(AD$3="","",Requests!AD$4)</x:f>
        <x:v>土</x:v>
      </x:c>
      <x:c r="AE4" s="12" t="str">
        <x:f>IF(AE$3="","",Requests!AE$4)</x:f>
        <x:v>日</x:v>
      </x:c>
      <x:c r="AF4" s="12" t="str">
        <x:f>IF(AF$3="","",Requests!AF$4)</x:f>
        <x:v>月</x:v>
      </x:c>
      <x:c r="AG4" s="12" t="str">
        <x:f>IF(AG$3="","",Requests!AG$4)</x:f>
        <x:v>火</x:v>
      </x:c>
      <x:c r="AH4" s="12" t="str">
        <x:f>IF(AH$3="","",Requests!AH$4)</x:f>
      </x:c>
    </x:row>
    <x:row r="5">
      <x:c r="A5" s="9" t="str"/>
      <x:c r="B5" s="9" t="str"/>
      <x:c r="C5" s="9" t="str"/>
      <x:c r="D5" s="12" t="str">
        <x:f>IF(D$3="","",Requests!D$5)</x:f>
        <x:v>平日</x:v>
      </x:c>
      <x:c r="E5" s="12" t="str">
        <x:f>IF(E$3="","",Requests!E$5)</x:f>
        <x:v>平日</x:v>
      </x:c>
      <x:c r="F5" s="12" t="str">
        <x:f>IF(F$3="","",Requests!F$5)</x:f>
        <x:v>平日</x:v>
      </x:c>
      <x:c r="G5" s="12" t="str">
        <x:f>IF(G$3="","",Requests!G$5)</x:f>
        <x:v>平日</x:v>
      </x:c>
      <x:c r="H5" s="12" t="str">
        <x:f>IF(H$3="","",Requests!H$5)</x:f>
        <x:v>平日</x:v>
      </x:c>
      <x:c r="I5" s="12" t="str">
        <x:f>IF(I$3="","",Requests!I$5)</x:f>
        <x:v>土日祝</x:v>
      </x:c>
      <x:c r="J5" s="12" t="str">
        <x:f>IF(J$3="","",Requests!J$5)</x:f>
        <x:v>土日祝</x:v>
      </x:c>
      <x:c r="K5" s="12" t="str">
        <x:f>IF(K$3="","",Requests!K$5)</x:f>
        <x:v>平日</x:v>
      </x:c>
      <x:c r="L5" s="12" t="str">
        <x:f>IF(L$3="","",Requests!L$5)</x:f>
        <x:v>平日</x:v>
      </x:c>
      <x:c r="M5" s="12" t="str">
        <x:f>IF(M$3="","",Requests!M$5)</x:f>
        <x:v>平日</x:v>
      </x:c>
      <x:c r="N5" s="12" t="str">
        <x:f>IF(N$3="","",Requests!N$5)</x:f>
        <x:v>平日</x:v>
      </x:c>
      <x:c r="O5" s="12" t="str">
        <x:f>IF(O$3="","",Requests!O$5)</x:f>
        <x:v>平日</x:v>
      </x:c>
      <x:c r="P5" s="12" t="str">
        <x:f>IF(P$3="","",Requests!P$5)</x:f>
        <x:v>土日祝</x:v>
      </x:c>
      <x:c r="Q5" s="12" t="str">
        <x:f>IF(Q$3="","",Requests!Q$5)</x:f>
        <x:v>土日祝</x:v>
      </x:c>
      <x:c r="R5" s="12" t="str">
        <x:f>IF(R$3="","",Requests!R$5)</x:f>
        <x:v>平日</x:v>
      </x:c>
      <x:c r="S5" s="12" t="str">
        <x:f>IF(S$3="","",Requests!S$5)</x:f>
        <x:v>平日</x:v>
      </x:c>
      <x:c r="T5" s="12" t="str">
        <x:f>IF(T$3="","",Requests!T$5)</x:f>
        <x:v>平日</x:v>
      </x:c>
      <x:c r="U5" s="12" t="str">
        <x:f>IF(U$3="","",Requests!U$5)</x:f>
        <x:v>平日</x:v>
      </x:c>
      <x:c r="V5" s="12" t="str">
        <x:f>IF(V$3="","",Requests!V$5)</x:f>
        <x:v>平日</x:v>
      </x:c>
      <x:c r="W5" s="12" t="str">
        <x:f>IF(W$3="","",Requests!W$5)</x:f>
        <x:v>土日祝</x:v>
      </x:c>
      <x:c r="X5" s="12" t="str">
        <x:f>IF(X$3="","",Requests!X$5)</x:f>
        <x:v>土日祝</x:v>
      </x:c>
      <x:c r="Y5" s="12" t="str">
        <x:f>IF(Y$3="","",Requests!Y$5)</x:f>
        <x:v>平日</x:v>
      </x:c>
      <x:c r="Z5" s="12" t="str">
        <x:f>IF(Z$3="","",Requests!Z$5)</x:f>
        <x:v>平日</x:v>
      </x:c>
      <x:c r="AA5" s="12" t="str">
        <x:f>IF(AA$3="","",Requests!AA$5)</x:f>
        <x:v>平日</x:v>
      </x:c>
      <x:c r="AB5" s="12" t="str">
        <x:f>IF(AB$3="","",Requests!AB$5)</x:f>
        <x:v>平日</x:v>
      </x:c>
      <x:c r="AC5" s="12" t="str">
        <x:f>IF(AC$3="","",Requests!AC$5)</x:f>
        <x:v>平日</x:v>
      </x:c>
      <x:c r="AD5" s="12" t="str">
        <x:f>IF(AD$3="","",Requests!AD$5)</x:f>
        <x:v>土日祝</x:v>
      </x:c>
      <x:c r="AE5" s="12" t="str">
        <x:f>IF(AE$3="","",Requests!AE$5)</x:f>
        <x:v>土日祝</x:v>
      </x:c>
      <x:c r="AF5" s="12" t="str">
        <x:f>IF(AF$3="","",Requests!AF$5)</x:f>
        <x:v>平日</x:v>
      </x:c>
      <x:c r="AG5" s="12" t="str">
        <x:f>IF(AG$3="","",Requests!AG$5)</x:f>
        <x:v>平日</x:v>
      </x:c>
      <x:c r="AH5" s="12" t="str">
        <x:f>IF(AH$3="","",Requests!AH$5)</x:f>
      </x:c>
    </x:row>
    <x:row r="6">
      <x:c r="A6" s="17" t="str">
        <x:v>スタッフ名</x:v>
      </x:c>
      <x:c r="B6" s="17" t="str">
        <x:v>日勤日数</x:v>
      </x:c>
      <x:c r="C6" s="17" t="str">
        <x:v>土日祝日勤</x:v>
      </x:c>
      <x:c r="D6" s="17" t="n">
        <x:f>IF(D$3="","",IF(D$5="土日祝",Settings!$B$6,Settings!$B$5))</x:f>
        <x:v>2</x:v>
      </x:c>
      <x:c r="E6" s="17" t="n">
        <x:f>IF(E$3="","",IF(E$5="土日祝",Settings!$B$6,Settings!$B$5))</x:f>
        <x:v>2</x:v>
      </x:c>
      <x:c r="F6" s="17" t="n">
        <x:f>IF(F$3="","",IF(F$5="土日祝",Settings!$B$6,Settings!$B$5))</x:f>
        <x:v>2</x:v>
      </x:c>
      <x:c r="G6" s="17" t="n">
        <x:f>IF(G$3="","",IF(G$5="土日祝",Settings!$B$6,Settings!$B$5))</x:f>
        <x:v>2</x:v>
      </x:c>
      <x:c r="H6" s="17" t="n">
        <x:f>IF(H$3="","",IF(H$5="土日祝",Settings!$B$6,Settings!$B$5))</x:f>
        <x:v>2</x:v>
      </x:c>
      <x:c r="I6" s="17" t="n">
        <x:f>IF(I$3="","",IF(I$5="土日祝",Settings!$B$6,Settings!$B$5))</x:f>
        <x:v>3</x:v>
      </x:c>
      <x:c r="J6" s="17" t="n">
        <x:f>IF(J$3="","",IF(J$5="土日祝",Settings!$B$6,Settings!$B$5))</x:f>
        <x:v>3</x:v>
      </x:c>
      <x:c r="K6" s="17" t="n">
        <x:f>IF(K$3="","",IF(K$5="土日祝",Settings!$B$6,Settings!$B$5))</x:f>
        <x:v>2</x:v>
      </x:c>
      <x:c r="L6" s="17" t="n">
        <x:f>IF(L$3="","",IF(L$5="土日祝",Settings!$B$6,Settings!$B$5))</x:f>
        <x:v>2</x:v>
      </x:c>
      <x:c r="M6" s="17" t="n">
        <x:f>IF(M$3="","",IF(M$5="土日祝",Settings!$B$6,Settings!$B$5))</x:f>
        <x:v>2</x:v>
      </x:c>
      <x:c r="N6" s="17" t="n">
        <x:f>IF(N$3="","",IF(N$5="土日祝",Settings!$B$6,Settings!$B$5))</x:f>
        <x:v>2</x:v>
      </x:c>
      <x:c r="O6" s="17" t="n">
        <x:f>IF(O$3="","",IF(O$5="土日祝",Settings!$B$6,Settings!$B$5))</x:f>
        <x:v>2</x:v>
      </x:c>
      <x:c r="P6" s="17" t="n">
        <x:f>IF(P$3="","",IF(P$5="土日祝",Settings!$B$6,Settings!$B$5))</x:f>
        <x:v>3</x:v>
      </x:c>
      <x:c r="Q6" s="17" t="n">
        <x:f>IF(Q$3="","",IF(Q$5="土日祝",Settings!$B$6,Settings!$B$5))</x:f>
        <x:v>3</x:v>
      </x:c>
      <x:c r="R6" s="17" t="n">
        <x:f>IF(R$3="","",IF(R$5="土日祝",Settings!$B$6,Settings!$B$5))</x:f>
        <x:v>2</x:v>
      </x:c>
      <x:c r="S6" s="17" t="n">
        <x:f>IF(S$3="","",IF(S$5="土日祝",Settings!$B$6,Settings!$B$5))</x:f>
        <x:v>2</x:v>
      </x:c>
      <x:c r="T6" s="17" t="n">
        <x:f>IF(T$3="","",IF(T$5="土日祝",Settings!$B$6,Settings!$B$5))</x:f>
        <x:v>2</x:v>
      </x:c>
      <x:c r="U6" s="17" t="n">
        <x:f>IF(U$3="","",IF(U$5="土日祝",Settings!$B$6,Settings!$B$5))</x:f>
        <x:v>2</x:v>
      </x:c>
      <x:c r="V6" s="17" t="n">
        <x:f>IF(V$3="","",IF(V$5="土日祝",Settings!$B$6,Settings!$B$5))</x:f>
        <x:v>2</x:v>
      </x:c>
      <x:c r="W6" s="17" t="n">
        <x:f>IF(W$3="","",IF(W$5="土日祝",Settings!$B$6,Settings!$B$5))</x:f>
        <x:v>3</x:v>
      </x:c>
      <x:c r="X6" s="17" t="n">
        <x:f>IF(X$3="","",IF(X$5="土日祝",Settings!$B$6,Settings!$B$5))</x:f>
        <x:v>3</x:v>
      </x:c>
      <x:c r="Y6" s="17" t="n">
        <x:f>IF(Y$3="","",IF(Y$5="土日祝",Settings!$B$6,Settings!$B$5))</x:f>
        <x:v>2</x:v>
      </x:c>
      <x:c r="Z6" s="17" t="n">
        <x:f>IF(Z$3="","",IF(Z$5="土日祝",Settings!$B$6,Settings!$B$5))</x:f>
        <x:v>2</x:v>
      </x:c>
      <x:c r="AA6" s="17" t="n">
        <x:f>IF(AA$3="","",IF(AA$5="土日祝",Settings!$B$6,Settings!$B$5))</x:f>
        <x:v>2</x:v>
      </x:c>
      <x:c r="AB6" s="17" t="n">
        <x:f>IF(AB$3="","",IF(AB$5="土日祝",Settings!$B$6,Settings!$B$5))</x:f>
        <x:v>2</x:v>
      </x:c>
      <x:c r="AC6" s="17" t="n">
        <x:f>IF(AC$3="","",IF(AC$5="土日祝",Settings!$B$6,Settings!$B$5))</x:f>
        <x:v>2</x:v>
      </x:c>
      <x:c r="AD6" s="17" t="n">
        <x:f>IF(AD$3="","",IF(AD$5="土日祝",Settings!$B$6,Settings!$B$5))</x:f>
        <x:v>3</x:v>
      </x:c>
      <x:c r="AE6" s="17" t="n">
        <x:f>IF(AE$3="","",IF(AE$5="土日祝",Settings!$B$6,Settings!$B$5))</x:f>
        <x:v>3</x:v>
      </x:c>
      <x:c r="AF6" s="17" t="n">
        <x:f>IF(AF$3="","",IF(AF$5="土日祝",Settings!$B$6,Settings!$B$5))</x:f>
        <x:v>2</x:v>
      </x:c>
      <x:c r="AG6" s="17" t="n">
        <x:f>IF(AG$3="","",IF(AG$5="土日祝",Settings!$B$6,Settings!$B$5))</x:f>
        <x:v>2</x:v>
      </x:c>
      <x:c r="AH6" s="17" t="str">
        <x:f>IF(AH$3="","",IF(AH$5="土日祝",Settings!$B$6,Settings!$B$5))</x:f>
      </x:c>
    </x:row>
    <x:row r="7">
      <x:c r="A7" s="9" t="str">
        <x:f>Settings!B10</x:f>
        <x:v>スタッフA</x:v>
      </x:c>
      <x:c r="B7" s="9" t="n">
        <x:f>COUNTIF(D7:AH7,"日勤")</x:f>
        <x:v>14</x:v>
      </x:c>
      <x:c r="C7" s="9" t="n">
        <x:f>SUMPRODUCT(--(D7:AH7="日勤"),--($D$5:$AH$5="土日祝"))</x:f>
        <x:v>6</x:v>
      </x:c>
      <x:c r="D7" s="25" t="str">
        <x:f>IF(D$3="","",IF(Requests!D7="休","休",IF(SUMPRODUCT(--(Requests!$D7:$AH7="休"),--(Requests!$D$5:$AH$5="土日祝"),--(IFERROR(WORKDAY(Requests!$D$3:$AH$3,1,Holidays!$A$4:$A$60),0)=D$3))&gt;0,"振休("&amp;TEXT(INDEX(Requests!$D$3:$AH$3,1,MATCH(1,(Requests!$D7:$AH7="休")*(Requests!$D$5:$AH$5="土日祝")*(IFERROR(WORKDAY(Requests!$D$3:$AH$3,1,Holidays!$A$4:$A$60),0)=D$3),0)),"m/d")&amp;")",IF(AND(MOD(DAY(D$3)+0-1,5)+1&lt;=D$6,0&lt;Settings!$B$7),"日勤",""))))</x:f>
        <x:v>日勤</x:v>
      </x:c>
      <x:c r="E7" s="25" t="str">
        <x:f>IF(E$3="","",IF(Requests!E7="休","休",IF(SUMPRODUCT(--(Requests!$D7:$AH7="休"),--(Requests!$D$5:$AH$5="土日祝"),--(IFERROR(WORKDAY(Requests!$D$3:$AH$3,1,Holidays!$A$4:$A$60),0)=E$3))&gt;0,"振休("&amp;TEXT(INDEX(Requests!$D$3:$AH$3,1,MATCH(1,(Requests!$D7:$AH7="休")*(Requests!$D$5:$AH$5="土日祝")*(IFERROR(WORKDAY(Requests!$D$3:$AH$3,1,Holidays!$A$4:$A$60),0)=E$3),0)),"m/d")&amp;")",IF(AND(MOD(DAY(E$3)+0-1,5)+1&lt;=E$6,COUNTIF(D7:D7,"日勤")&lt;Settings!$B$7),"日勤",""))))</x:f>
        <x:v>日勤</x:v>
      </x:c>
      <x:c r="F7" s="25" t="str">
        <x:f>IF(F$3="","",IF(Requests!F7="休","休",IF(SUMPRODUCT(--(Requests!$D7:$AH7="休"),--(Requests!$D$5:$AH$5="土日祝"),--(IFERROR(WORKDAY(Requests!$D$3:$AH$3,1,Holidays!$A$4:$A$60),0)=F$3))&gt;0,"振休("&amp;TEXT(INDEX(Requests!$D$3:$AH$3,1,MATCH(1,(Requests!$D7:$AH7="休")*(Requests!$D$5:$AH$5="土日祝")*(IFERROR(WORKDAY(Requests!$D$3:$AH$3,1,Holidays!$A$4:$A$60),0)=F$3),0)),"m/d")&amp;")",IF(AND(MOD(DAY(F$3)+0-1,5)+1&lt;=F$6,COUNTIF(D7:E7,"日勤")&lt;Settings!$B$7),"日勤",""))))</x:f>
      </x:c>
      <x:c r="G7" s="25" t="str">
        <x:f>IF(G$3="","",IF(Requests!G7="休","休",IF(SUMPRODUCT(--(Requests!$D7:$AH7="休"),--(Requests!$D$5:$AH$5="土日祝"),--(IFERROR(WORKDAY(Requests!$D$3:$AH$3,1,Holidays!$A$4:$A$60),0)=G$3))&gt;0,"振休("&amp;TEXT(INDEX(Requests!$D$3:$AH$3,1,MATCH(1,(Requests!$D7:$AH7="休")*(Requests!$D$5:$AH$5="土日祝")*(IFERROR(WORKDAY(Requests!$D$3:$AH$3,1,Holidays!$A$4:$A$60),0)=G$3),0)),"m/d")&amp;")",IF(AND(MOD(DAY(G$3)+0-1,5)+1&lt;=G$6,COUNTIF(D7:F7,"日勤")&lt;Settings!$B$7),"日勤",""))))</x:f>
      </x:c>
      <x:c r="H7" s="25" t="str">
        <x:f>IF(H$3="","",IF(Requests!H7="休","休",IF(SUMPRODUCT(--(Requests!$D7:$AH7="休"),--(Requests!$D$5:$AH$5="土日祝"),--(IFERROR(WORKDAY(Requests!$D$3:$AH$3,1,Holidays!$A$4:$A$60),0)=H$3))&gt;0,"振休("&amp;TEXT(INDEX(Requests!$D$3:$AH$3,1,MATCH(1,(Requests!$D7:$AH7="休")*(Requests!$D$5:$AH$5="土日祝")*(IFERROR(WORKDAY(Requests!$D$3:$AH$3,1,Holidays!$A$4:$A$60),0)=H$3),0)),"m/d")&amp;")",IF(AND(MOD(DAY(H$3)+0-1,5)+1&lt;=H$6,COUNTIF(D7:G7,"日勤")&lt;Settings!$B$7),"日勤",""))))</x:f>
      </x:c>
      <x:c r="I7" s="25" t="str">
        <x:f>IF(I$3="","",IF(Requests!I7="休","休",IF(SUMPRODUCT(--(Requests!$D7:$AH7="休"),--(Requests!$D$5:$AH$5="土日祝"),--(IFERROR(WORKDAY(Requests!$D$3:$AH$3,1,Holidays!$A$4:$A$60),0)=I$3))&gt;0,"振休("&amp;TEXT(INDEX(Requests!$D$3:$AH$3,1,MATCH(1,(Requests!$D7:$AH7="休")*(Requests!$D$5:$AH$5="土日祝")*(IFERROR(WORKDAY(Requests!$D$3:$AH$3,1,Holidays!$A$4:$A$60),0)=I$3),0)),"m/d")&amp;")",IF(AND(MOD(DAY(I$3)+0-1,5)+1&lt;=I$6,COUNTIF(E7:H7,"日勤")&lt;Settings!$B$7),"日勤",""))))</x:f>
        <x:v>日勤</x:v>
      </x:c>
      <x:c r="J7" s="25" t="str">
        <x:f>IF(J$3="","",IF(Requests!J7="休","休",IF(SUMPRODUCT(--(Requests!$D7:$AH7="休"),--(Requests!$D$5:$AH$5="土日祝"),--(IFERROR(WORKDAY(Requests!$D$3:$AH$3,1,Holidays!$A$4:$A$60),0)=J$3))&gt;0,"振休("&amp;TEXT(INDEX(Requests!$D$3:$AH$3,1,MATCH(1,(Requests!$D7:$AH7="休")*(Requests!$D$5:$AH$5="土日祝")*(IFERROR(WORKDAY(Requests!$D$3:$AH$3,1,Holidays!$A$4:$A$60),0)=J$3),0)),"m/d")&amp;")",IF(AND(MOD(DAY(J$3)+0-1,5)+1&lt;=J$6,COUNTIF(F7:I7,"日勤")&lt;Settings!$B$7),"日勤",""))))</x:f>
        <x:v>日勤</x:v>
      </x:c>
      <x:c r="K7" s="25" t="str">
        <x:f>IF(K$3="","",IF(Requests!K7="休","休",IF(SUMPRODUCT(--(Requests!$D7:$AH7="休"),--(Requests!$D$5:$AH$5="土日祝"),--(IFERROR(WORKDAY(Requests!$D$3:$AH$3,1,Holidays!$A$4:$A$60),0)=K$3))&gt;0,"振休("&amp;TEXT(INDEX(Requests!$D$3:$AH$3,1,MATCH(1,(Requests!$D7:$AH7="休")*(Requests!$D$5:$AH$5="土日祝")*(IFERROR(WORKDAY(Requests!$D$3:$AH$3,1,Holidays!$A$4:$A$60),0)=K$3),0)),"m/d")&amp;")",IF(AND(MOD(DAY(K$3)+0-1,5)+1&lt;=K$6,COUNTIF(G7:J7,"日勤")&lt;Settings!$B$7),"日勤",""))))</x:f>
      </x:c>
      <x:c r="L7" s="25" t="str">
        <x:f>IF(L$3="","",IF(Requests!L7="休","休",IF(SUMPRODUCT(--(Requests!$D7:$AH7="休"),--(Requests!$D$5:$AH$5="土日祝"),--(IFERROR(WORKDAY(Requests!$D$3:$AH$3,1,Holidays!$A$4:$A$60),0)=L$3))&gt;0,"振休("&amp;TEXT(INDEX(Requests!$D$3:$AH$3,1,MATCH(1,(Requests!$D7:$AH7="休")*(Requests!$D$5:$AH$5="土日祝")*(IFERROR(WORKDAY(Requests!$D$3:$AH$3,1,Holidays!$A$4:$A$60),0)=L$3),0)),"m/d")&amp;")",IF(AND(MOD(DAY(L$3)+0-1,5)+1&lt;=L$6,COUNTIF(H7:K7,"日勤")&lt;Settings!$B$7),"日勤",""))))</x:f>
      </x:c>
      <x:c r="M7" s="25" t="str">
        <x:f>IF(M$3="","",IF(Requests!M7="休","休",IF(SUMPRODUCT(--(Requests!$D7:$AH7="休"),--(Requests!$D$5:$AH$5="土日祝"),--(IFERROR(WORKDAY(Requests!$D$3:$AH$3,1,Holidays!$A$4:$A$60),0)=M$3))&gt;0,"振休("&amp;TEXT(INDEX(Requests!$D$3:$AH$3,1,MATCH(1,(Requests!$D7:$AH7="休")*(Requests!$D$5:$AH$5="土日祝")*(IFERROR(WORKDAY(Requests!$D$3:$AH$3,1,Holidays!$A$4:$A$60),0)=M$3),0)),"m/d")&amp;")",IF(AND(MOD(DAY(M$3)+0-1,5)+1&lt;=M$6,COUNTIF(I7:L7,"日勤")&lt;Settings!$B$7),"日勤",""))))</x:f>
      </x:c>
      <x:c r="N7" s="25" t="str">
        <x:f>IF(N$3="","",IF(Requests!N7="休","休",IF(SUMPRODUCT(--(Requests!$D7:$AH7="休"),--(Requests!$D$5:$AH$5="土日祝"),--(IFERROR(WORKDAY(Requests!$D$3:$AH$3,1,Holidays!$A$4:$A$60),0)=N$3))&gt;0,"振休("&amp;TEXT(INDEX(Requests!$D$3:$AH$3,1,MATCH(1,(Requests!$D7:$AH7="休")*(Requests!$D$5:$AH$5="土日祝")*(IFERROR(WORKDAY(Requests!$D$3:$AH$3,1,Holidays!$A$4:$A$60),0)=N$3),0)),"m/d")&amp;")",IF(AND(MOD(DAY(N$3)+0-1,5)+1&lt;=N$6,COUNTIF(J7:M7,"日勤")&lt;Settings!$B$7),"日勤",""))))</x:f>
        <x:v>日勤</x:v>
      </x:c>
      <x:c r="O7" s="25" t="str">
        <x:f>IF(O$3="","",IF(Requests!O7="休","休",IF(SUMPRODUCT(--(Requests!$D7:$AH7="休"),--(Requests!$D$5:$AH$5="土日祝"),--(IFERROR(WORKDAY(Requests!$D$3:$AH$3,1,Holidays!$A$4:$A$60),0)=O$3))&gt;0,"振休("&amp;TEXT(INDEX(Requests!$D$3:$AH$3,1,MATCH(1,(Requests!$D7:$AH7="休")*(Requests!$D$5:$AH$5="土日祝")*(IFERROR(WORKDAY(Requests!$D$3:$AH$3,1,Holidays!$A$4:$A$60),0)=O$3),0)),"m/d")&amp;")",IF(AND(MOD(DAY(O$3)+0-1,5)+1&lt;=O$6,COUNTIF(K7:N7,"日勤")&lt;Settings!$B$7),"日勤",""))))</x:f>
        <x:v>日勤</x:v>
      </x:c>
      <x:c r="P7" s="25" t="str">
        <x:f>IF(P$3="","",IF(Requests!P7="休","休",IF(SUMPRODUCT(--(Requests!$D7:$AH7="休"),--(Requests!$D$5:$AH$5="土日祝"),--(IFERROR(WORKDAY(Requests!$D$3:$AH$3,1,Holidays!$A$4:$A$60),0)=P$3))&gt;0,"振休("&amp;TEXT(INDEX(Requests!$D$3:$AH$3,1,MATCH(1,(Requests!$D7:$AH7="休")*(Requests!$D$5:$AH$5="土日祝")*(IFERROR(WORKDAY(Requests!$D$3:$AH$3,1,Holidays!$A$4:$A$60),0)=P$3),0)),"m/d")&amp;")",IF(AND(MOD(DAY(P$3)+0-1,5)+1&lt;=P$6,COUNTIF(L7:O7,"日勤")&lt;Settings!$B$7),"日勤",""))))</x:f>
        <x:v>日勤</x:v>
      </x:c>
      <x:c r="Q7" s="25" t="str">
        <x:f>IF(Q$3="","",IF(Requests!Q7="休","休",IF(SUMPRODUCT(--(Requests!$D7:$AH7="休"),--(Requests!$D$5:$AH$5="土日祝"),--(IFERROR(WORKDAY(Requests!$D$3:$AH$3,1,Holidays!$A$4:$A$60),0)=Q$3))&gt;0,"振休("&amp;TEXT(INDEX(Requests!$D$3:$AH$3,1,MATCH(1,(Requests!$D7:$AH7="休")*(Requests!$D$5:$AH$5="土日祝")*(IFERROR(WORKDAY(Requests!$D$3:$AH$3,1,Holidays!$A$4:$A$60),0)=Q$3),0)),"m/d")&amp;")",IF(AND(MOD(DAY(Q$3)+0-1,5)+1&lt;=Q$6,COUNTIF(M7:P7,"日勤")&lt;Settings!$B$7),"日勤",""))))</x:f>
      </x:c>
      <x:c r="R7" s="25" t="str">
        <x:f>IF(R$3="","",IF(Requests!R7="休","休",IF(SUMPRODUCT(--(Requests!$D7:$AH7="休"),--(Requests!$D$5:$AH$5="土日祝"),--(IFERROR(WORKDAY(Requests!$D$3:$AH$3,1,Holidays!$A$4:$A$60),0)=R$3))&gt;0,"振休("&amp;TEXT(INDEX(Requests!$D$3:$AH$3,1,MATCH(1,(Requests!$D7:$AH7="休")*(Requests!$D$5:$AH$5="土日祝")*(IFERROR(WORKDAY(Requests!$D$3:$AH$3,1,Holidays!$A$4:$A$60),0)=R$3),0)),"m/d")&amp;")",IF(AND(MOD(DAY(R$3)+0-1,5)+1&lt;=R$6,COUNTIF(N7:Q7,"日勤")&lt;Settings!$B$7),"日勤",""))))</x:f>
      </x:c>
      <x:c r="S7" s="25" t="str">
        <x:f>IF(S$3="","",IF(Requests!S7="休","休",IF(SUMPRODUCT(--(Requests!$D7:$AH7="休"),--(Requests!$D$5:$AH$5="土日祝"),--(IFERROR(WORKDAY(Requests!$D$3:$AH$3,1,Holidays!$A$4:$A$60),0)=S$3))&gt;0,"振休("&amp;TEXT(INDEX(Requests!$D$3:$AH$3,1,MATCH(1,(Requests!$D7:$AH7="休")*(Requests!$D$5:$AH$5="土日祝")*(IFERROR(WORKDAY(Requests!$D$3:$AH$3,1,Holidays!$A$4:$A$60),0)=S$3),0)),"m/d")&amp;")",IF(AND(MOD(DAY(S$3)+0-1,5)+1&lt;=S$6,COUNTIF(O7:R7,"日勤")&lt;Settings!$B$7),"日勤",""))))</x:f>
        <x:v>日勤</x:v>
      </x:c>
      <x:c r="T7" s="25" t="str">
        <x:f>IF(T$3="","",IF(Requests!T7="休","休",IF(SUMPRODUCT(--(Requests!$D7:$AH7="休"),--(Requests!$D$5:$AH$5="土日祝"),--(IFERROR(WORKDAY(Requests!$D$3:$AH$3,1,Holidays!$A$4:$A$60),0)=T$3))&gt;0,"振休("&amp;TEXT(INDEX(Requests!$D$3:$AH$3,1,MATCH(1,(Requests!$D7:$AH7="休")*(Requests!$D$5:$AH$5="土日祝")*(IFERROR(WORKDAY(Requests!$D$3:$AH$3,1,Holidays!$A$4:$A$60),0)=T$3),0)),"m/d")&amp;")",IF(AND(MOD(DAY(T$3)+0-1,5)+1&lt;=T$6,COUNTIF(P7:S7,"日勤")&lt;Settings!$B$7),"日勤",""))))</x:f>
        <x:v>日勤</x:v>
      </x:c>
      <x:c r="U7" s="25" t="str">
        <x:f>IF(U$3="","",IF(Requests!U7="休","休",IF(SUMPRODUCT(--(Requests!$D7:$AH7="休"),--(Requests!$D$5:$AH$5="土日祝"),--(IFERROR(WORKDAY(Requests!$D$3:$AH$3,1,Holidays!$A$4:$A$60),0)=U$3))&gt;0,"振休("&amp;TEXT(INDEX(Requests!$D$3:$AH$3,1,MATCH(1,(Requests!$D7:$AH7="休")*(Requests!$D$5:$AH$5="土日祝")*(IFERROR(WORKDAY(Requests!$D$3:$AH$3,1,Holidays!$A$4:$A$60),0)=U$3),0)),"m/d")&amp;")",IF(AND(MOD(DAY(U$3)+0-1,5)+1&lt;=U$6,COUNTIF(Q7:T7,"日勤")&lt;Settings!$B$7),"日勤",""))))</x:f>
      </x:c>
      <x:c r="V7" s="25" t="str">
        <x:f>IF(V$3="","",IF(Requests!V7="休","休",IF(SUMPRODUCT(--(Requests!$D7:$AH7="休"),--(Requests!$D$5:$AH$5="土日祝"),--(IFERROR(WORKDAY(Requests!$D$3:$AH$3,1,Holidays!$A$4:$A$60),0)=V$3))&gt;0,"振休("&amp;TEXT(INDEX(Requests!$D$3:$AH$3,1,MATCH(1,(Requests!$D7:$AH7="休")*(Requests!$D$5:$AH$5="土日祝")*(IFERROR(WORKDAY(Requests!$D$3:$AH$3,1,Holidays!$A$4:$A$60),0)=V$3),0)),"m/d")&amp;")",IF(AND(MOD(DAY(V$3)+0-1,5)+1&lt;=V$6,COUNTIF(R7:U7,"日勤")&lt;Settings!$B$7),"日勤",""))))</x:f>
      </x:c>
      <x:c r="W7" s="25" t="str">
        <x:f>IF(W$3="","",IF(Requests!W7="休","休",IF(SUMPRODUCT(--(Requests!$D7:$AH7="休"),--(Requests!$D$5:$AH$5="土日祝"),--(IFERROR(WORKDAY(Requests!$D$3:$AH$3,1,Holidays!$A$4:$A$60),0)=W$3))&gt;0,"振休("&amp;TEXT(INDEX(Requests!$D$3:$AH$3,1,MATCH(1,(Requests!$D7:$AH7="休")*(Requests!$D$5:$AH$5="土日祝")*(IFERROR(WORKDAY(Requests!$D$3:$AH$3,1,Holidays!$A$4:$A$60),0)=W$3),0)),"m/d")&amp;")",IF(AND(MOD(DAY(W$3)+0-1,5)+1&lt;=W$6,COUNTIF(S7:V7,"日勤")&lt;Settings!$B$7),"日勤",""))))</x:f>
      </x:c>
      <x:c r="X7" s="25" t="str">
        <x:f>IF(X$3="","",IF(Requests!X7="休","休",IF(SUMPRODUCT(--(Requests!$D7:$AH7="休"),--(Requests!$D$5:$AH$5="土日祝"),--(IFERROR(WORKDAY(Requests!$D$3:$AH$3,1,Holidays!$A$4:$A$60),0)=X$3))&gt;0,"振休("&amp;TEXT(INDEX(Requests!$D$3:$AH$3,1,MATCH(1,(Requests!$D7:$AH7="休")*(Requests!$D$5:$AH$5="土日祝")*(IFERROR(WORKDAY(Requests!$D$3:$AH$3,1,Holidays!$A$4:$A$60),0)=X$3),0)),"m/d")&amp;")",IF(AND(MOD(DAY(X$3)+0-1,5)+1&lt;=X$6,COUNTIF(T7:W7,"日勤")&lt;Settings!$B$7),"日勤",""))))</x:f>
        <x:v>日勤</x:v>
      </x:c>
      <x:c r="Y7" s="25" t="str">
        <x:f>IF(Y$3="","",IF(Requests!Y7="休","休",IF(SUMPRODUCT(--(Requests!$D7:$AH7="休"),--(Requests!$D$5:$AH$5="土日祝"),--(IFERROR(WORKDAY(Requests!$D$3:$AH$3,1,Holidays!$A$4:$A$60),0)=Y$3))&gt;0,"振休("&amp;TEXT(INDEX(Requests!$D$3:$AH$3,1,MATCH(1,(Requests!$D7:$AH7="休")*(Requests!$D$5:$AH$5="土日祝")*(IFERROR(WORKDAY(Requests!$D$3:$AH$3,1,Holidays!$A$4:$A$60),0)=Y$3),0)),"m/d")&amp;")",IF(AND(MOD(DAY(Y$3)+0-1,5)+1&lt;=Y$6,COUNTIF(U7:X7,"日勤")&lt;Settings!$B$7),"日勤",""))))</x:f>
        <x:v>日勤</x:v>
      </x:c>
      <x:c r="Z7" s="25" t="str">
        <x:f>IF(Z$3="","",IF(Requests!Z7="休","休",IF(SUMPRODUCT(--(Requests!$D7:$AH7="休"),--(Requests!$D$5:$AH$5="土日祝"),--(IFERROR(WORKDAY(Requests!$D$3:$AH$3,1,Holidays!$A$4:$A$60),0)=Z$3))&gt;0,"振休("&amp;TEXT(INDEX(Requests!$D$3:$AH$3,1,MATCH(1,(Requests!$D7:$AH7="休")*(Requests!$D$5:$AH$5="土日祝")*(IFERROR(WORKDAY(Requests!$D$3:$AH$3,1,Holidays!$A$4:$A$60),0)=Z$3),0)),"m/d")&amp;")",IF(AND(MOD(DAY(Z$3)+0-1,5)+1&lt;=Z$6,COUNTIF(V7:Y7,"日勤")&lt;Settings!$B$7),"日勤",""))))</x:f>
      </x:c>
      <x:c r="AA7" s="25" t="str">
        <x:f>IF(AA$3="","",IF(Requests!AA7="休","休",IF(SUMPRODUCT(--(Requests!$D7:$AH7="休"),--(Requests!$D$5:$AH$5="土日祝"),--(IFERROR(WORKDAY(Requests!$D$3:$AH$3,1,Holidays!$A$4:$A$60),0)=AA$3))&gt;0,"振休("&amp;TEXT(INDEX(Requests!$D$3:$AH$3,1,MATCH(1,(Requests!$D7:$AH7="休")*(Requests!$D$5:$AH$5="土日祝")*(IFERROR(WORKDAY(Requests!$D$3:$AH$3,1,Holidays!$A$4:$A$60),0)=AA$3),0)),"m/d")&amp;")",IF(AND(MOD(DAY(AA$3)+0-1,5)+1&lt;=AA$6,COUNTIF(W7:Z7,"日勤")&lt;Settings!$B$7),"日勤",""))))</x:f>
      </x:c>
      <x:c r="AB7" s="25" t="str">
        <x:f>IF(AB$3="","",IF(Requests!AB7="休","休",IF(SUMPRODUCT(--(Requests!$D7:$AH7="休"),--(Requests!$D$5:$AH$5="土日祝"),--(IFERROR(WORKDAY(Requests!$D$3:$AH$3,1,Holidays!$A$4:$A$60),0)=AB$3))&gt;0,"振休("&amp;TEXT(INDEX(Requests!$D$3:$AH$3,1,MATCH(1,(Requests!$D7:$AH7="休")*(Requests!$D$5:$AH$5="土日祝")*(IFERROR(WORKDAY(Requests!$D$3:$AH$3,1,Holidays!$A$4:$A$60),0)=AB$3),0)),"m/d")&amp;")",IF(AND(MOD(DAY(AB$3)+0-1,5)+1&lt;=AB$6,COUNTIF(X7:AA7,"日勤")&lt;Settings!$B$7),"日勤",""))))</x:f>
      </x:c>
      <x:c r="AC7" s="25" t="str">
        <x:f>IF(AC$3="","",IF(Requests!AC7="休","休",IF(SUMPRODUCT(--(Requests!$D7:$AH7="休"),--(Requests!$D$5:$AH$5="土日祝"),--(IFERROR(WORKDAY(Requests!$D$3:$AH$3,1,Holidays!$A$4:$A$60),0)=AC$3))&gt;0,"振休("&amp;TEXT(INDEX(Requests!$D$3:$AH$3,1,MATCH(1,(Requests!$D7:$AH7="休")*(Requests!$D$5:$AH$5="土日祝")*(IFERROR(WORKDAY(Requests!$D$3:$AH$3,1,Holidays!$A$4:$A$60),0)=AC$3),0)),"m/d")&amp;")",IF(AND(MOD(DAY(AC$3)+0-1,5)+1&lt;=AC$6,COUNTIF(Y7:AB7,"日勤")&lt;Settings!$B$7),"日勤",""))))</x:f>
        <x:v>日勤</x:v>
      </x:c>
      <x:c r="AD7" s="25" t="str">
        <x:f>IF(AD$3="","",IF(Requests!AD7="休","休",IF(SUMPRODUCT(--(Requests!$D7:$AH7="休"),--(Requests!$D$5:$AH$5="土日祝"),--(IFERROR(WORKDAY(Requests!$D$3:$AH$3,1,Holidays!$A$4:$A$60),0)=AD$3))&gt;0,"振休("&amp;TEXT(INDEX(Requests!$D$3:$AH$3,1,MATCH(1,(Requests!$D7:$AH7="休")*(Requests!$D$5:$AH$5="土日祝")*(IFERROR(WORKDAY(Requests!$D$3:$AH$3,1,Holidays!$A$4:$A$60),0)=AD$3),0)),"m/d")&amp;")",IF(AND(MOD(DAY(AD$3)+0-1,5)+1&lt;=AD$6,COUNTIF(Z7:AC7,"日勤")&lt;Settings!$B$7),"日勤",""))))</x:f>
        <x:v>日勤</x:v>
      </x:c>
      <x:c r="AE7" s="25" t="str">
        <x:f>IF(AE$3="","",IF(Requests!AE7="休","休",IF(SUMPRODUCT(--(Requests!$D7:$AH7="休"),--(Requests!$D$5:$AH$5="土日祝"),--(IFERROR(WORKDAY(Requests!$D$3:$AH$3,1,Holidays!$A$4:$A$60),0)=AE$3))&gt;0,"振休("&amp;TEXT(INDEX(Requests!$D$3:$AH$3,1,MATCH(1,(Requests!$D7:$AH7="休")*(Requests!$D$5:$AH$5="土日祝")*(IFERROR(WORKDAY(Requests!$D$3:$AH$3,1,Holidays!$A$4:$A$60),0)=AE$3),0)),"m/d")&amp;")",IF(AND(MOD(DAY(AE$3)+0-1,5)+1&lt;=AE$6,COUNTIF(AA7:AD7,"日勤")&lt;Settings!$B$7),"日勤",""))))</x:f>
        <x:v>日勤</x:v>
      </x:c>
      <x:c r="AF7" s="25" t="str">
        <x:f>IF(AF$3="","",IF(Requests!AF7="休","休",IF(SUMPRODUCT(--(Requests!$D7:$AH7="休"),--(Requests!$D$5:$AH$5="土日祝"),--(IFERROR(WORKDAY(Requests!$D$3:$AH$3,1,Holidays!$A$4:$A$60),0)=AF$3))&gt;0,"振休("&amp;TEXT(INDEX(Requests!$D$3:$AH$3,1,MATCH(1,(Requests!$D7:$AH7="休")*(Requests!$D$5:$AH$5="土日祝")*(IFERROR(WORKDAY(Requests!$D$3:$AH$3,1,Holidays!$A$4:$A$60),0)=AF$3),0)),"m/d")&amp;")",IF(AND(MOD(DAY(AF$3)+0-1,5)+1&lt;=AF$6,COUNTIF(AB7:AE7,"日勤")&lt;Settings!$B$7),"日勤",""))))</x:f>
      </x:c>
      <x:c r="AG7" s="25" t="str">
        <x:f>IF(AG$3="","",IF(Requests!AG7="休","休",IF(SUMPRODUCT(--(Requests!$D7:$AH7="休"),--(Requests!$D$5:$AH$5="土日祝"),--(IFERROR(WORKDAY(Requests!$D$3:$AH$3,1,Holidays!$A$4:$A$60),0)=AG$3))&gt;0,"振休("&amp;TEXT(INDEX(Requests!$D$3:$AH$3,1,MATCH(1,(Requests!$D7:$AH7="休")*(Requests!$D$5:$AH$5="土日祝")*(IFERROR(WORKDAY(Requests!$D$3:$AH$3,1,Holidays!$A$4:$A$60),0)=AG$3),0)),"m/d")&amp;")",IF(AND(MOD(DAY(AG$3)+0-1,5)+1&lt;=AG$6,COUNTIF(AC7:AF7,"日勤")&lt;Settings!$B$7),"日勤",""))))</x:f>
      </x:c>
      <x:c r="AH7" s="25" t="str">
        <x:f>IF(AH$3="","",IF(Requests!AH7="休","休",IF(SUMPRODUCT(--(Requests!$D7:$AH7="休"),--(Requests!$D$5:$AH$5="土日祝"),--(IFERROR(WORKDAY(Requests!$D$3:$AH$3,1,Holidays!$A$4:$A$60),0)=AH$3))&gt;0,"振休("&amp;TEXT(INDEX(Requests!$D$3:$AH$3,1,MATCH(1,(Requests!$D7:$AH7="休")*(Requests!$D$5:$AH$5="土日祝")*(IFERROR(WORKDAY(Requests!$D$3:$AH$3,1,Holidays!$A$4:$A$60),0)=AH$3),0)),"m/d")&amp;")",IF(AND(MOD(DAY(AH$3)+0-1,5)+1&lt;=AH$6,COUNTIF(AD7:AG7,"日勤")&lt;Settings!$B$7),"日勤",""))))</x:f>
      </x:c>
    </x:row>
    <x:row r="8">
      <x:c r="A8" s="9" t="str">
        <x:f>Settings!B11</x:f>
        <x:v>スタッフB</x:v>
      </x:c>
      <x:c r="B8" s="9" t="n">
        <x:f>COUNTIF(D8:AH8,"日勤")</x:f>
        <x:v>14</x:v>
      </x:c>
      <x:c r="C8" s="9" t="n">
        <x:f>SUMPRODUCT(--(D8:AH8="日勤"),--($D$5:$AH$5="土日祝"))</x:f>
        <x:v>5</x:v>
      </x:c>
      <x:c r="D8" s="25" t="str">
        <x:f>IF(D$3="","",IF(Requests!D8="休","休",IF(SUMPRODUCT(--(Requests!$D8:$AH8="休"),--(Requests!$D$5:$AH$5="土日祝"),--(IFERROR(WORKDAY(Requests!$D$3:$AH$3,1,Holidays!$A$4:$A$60),0)=D$3))&gt;0,"振休("&amp;TEXT(INDEX(Requests!$D$3:$AH$3,1,MATCH(1,(Requests!$D8:$AH8="休")*(Requests!$D$5:$AH$5="土日祝")*(IFERROR(WORKDAY(Requests!$D$3:$AH$3,1,Holidays!$A$4:$A$60),0)=D$3),0)),"m/d")&amp;")",IF(AND(MOD(DAY(D$3)+1-1,5)+1&lt;=D$6,0&lt;Settings!$B$7),"日勤",""))))</x:f>
        <x:v>日勤</x:v>
      </x:c>
      <x:c r="E8" s="25" t="str">
        <x:f>IF(E$3="","",IF(Requests!E8="休","休",IF(SUMPRODUCT(--(Requests!$D8:$AH8="休"),--(Requests!$D$5:$AH$5="土日祝"),--(IFERROR(WORKDAY(Requests!$D$3:$AH$3,1,Holidays!$A$4:$A$60),0)=E$3))&gt;0,"振休("&amp;TEXT(INDEX(Requests!$D$3:$AH$3,1,MATCH(1,(Requests!$D8:$AH8="休")*(Requests!$D$5:$AH$5="土日祝")*(IFERROR(WORKDAY(Requests!$D$3:$AH$3,1,Holidays!$A$4:$A$60),0)=E$3),0)),"m/d")&amp;")",IF(AND(MOD(DAY(E$3)+1-1,5)+1&lt;=E$6,COUNTIF(D8:D8,"日勤")&lt;Settings!$B$7),"日勤",""))))</x:f>
      </x:c>
      <x:c r="F8" s="25" t="str">
        <x:f>IF(F$3="","",IF(Requests!F8="休","休",IF(SUMPRODUCT(--(Requests!$D8:$AH8="休"),--(Requests!$D$5:$AH$5="土日祝"),--(IFERROR(WORKDAY(Requests!$D$3:$AH$3,1,Holidays!$A$4:$A$60),0)=F$3))&gt;0,"振休("&amp;TEXT(INDEX(Requests!$D$3:$AH$3,1,MATCH(1,(Requests!$D8:$AH8="休")*(Requests!$D$5:$AH$5="土日祝")*(IFERROR(WORKDAY(Requests!$D$3:$AH$3,1,Holidays!$A$4:$A$60),0)=F$3),0)),"m/d")&amp;")",IF(AND(MOD(DAY(F$3)+1-1,5)+1&lt;=F$6,COUNTIF(D8:E8,"日勤")&lt;Settings!$B$7),"日勤",""))))</x:f>
      </x:c>
      <x:c r="G8" s="25" t="str">
        <x:f>IF(G$3="","",IF(Requests!G8="休","休",IF(SUMPRODUCT(--(Requests!$D8:$AH8="休"),--(Requests!$D$5:$AH$5="土日祝"),--(IFERROR(WORKDAY(Requests!$D$3:$AH$3,1,Holidays!$A$4:$A$60),0)=G$3))&gt;0,"振休("&amp;TEXT(INDEX(Requests!$D$3:$AH$3,1,MATCH(1,(Requests!$D8:$AH8="休")*(Requests!$D$5:$AH$5="土日祝")*(IFERROR(WORKDAY(Requests!$D$3:$AH$3,1,Holidays!$A$4:$A$60),0)=G$3),0)),"m/d")&amp;")",IF(AND(MOD(DAY(G$3)+1-1,5)+1&lt;=G$6,COUNTIF(D8:F8,"日勤")&lt;Settings!$B$7),"日勤",""))))</x:f>
      </x:c>
      <x:c r="H8" s="25" t="str">
        <x:f>IF(H$3="","",IF(Requests!H8="休","休",IF(SUMPRODUCT(--(Requests!$D8:$AH8="休"),--(Requests!$D$5:$AH$5="土日祝"),--(IFERROR(WORKDAY(Requests!$D$3:$AH$3,1,Holidays!$A$4:$A$60),0)=H$3))&gt;0,"振休("&amp;TEXT(INDEX(Requests!$D$3:$AH$3,1,MATCH(1,(Requests!$D8:$AH8="休")*(Requests!$D$5:$AH$5="土日祝")*(IFERROR(WORKDAY(Requests!$D$3:$AH$3,1,Holidays!$A$4:$A$60),0)=H$3),0)),"m/d")&amp;")",IF(AND(MOD(DAY(H$3)+1-1,5)+1&lt;=H$6,COUNTIF(D8:G8,"日勤")&lt;Settings!$B$7),"日勤",""))))</x:f>
        <x:v>日勤</x:v>
      </x:c>
      <x:c r="I8" s="25" t="str">
        <x:f>IF(I$3="","",IF(Requests!I8="休","休",IF(SUMPRODUCT(--(Requests!$D8:$AH8="休"),--(Requests!$D$5:$AH$5="土日祝"),--(IFERROR(WORKDAY(Requests!$D$3:$AH$3,1,Holidays!$A$4:$A$60),0)=I$3))&gt;0,"振休("&amp;TEXT(INDEX(Requests!$D$3:$AH$3,1,MATCH(1,(Requests!$D8:$AH8="休")*(Requests!$D$5:$AH$5="土日祝")*(IFERROR(WORKDAY(Requests!$D$3:$AH$3,1,Holidays!$A$4:$A$60),0)=I$3),0)),"m/d")&amp;")",IF(AND(MOD(DAY(I$3)+1-1,5)+1&lt;=I$6,COUNTIF(E8:H8,"日勤")&lt;Settings!$B$7),"日勤",""))))</x:f>
        <x:v>日勤</x:v>
      </x:c>
      <x:c r="J8" s="25" t="str">
        <x:f>IF(J$3="","",IF(Requests!J8="休","休",IF(SUMPRODUCT(--(Requests!$D8:$AH8="休"),--(Requests!$D$5:$AH$5="土日祝"),--(IFERROR(WORKDAY(Requests!$D$3:$AH$3,1,Holidays!$A$4:$A$60),0)=J$3))&gt;0,"振休("&amp;TEXT(INDEX(Requests!$D$3:$AH$3,1,MATCH(1,(Requests!$D8:$AH8="休")*(Requests!$D$5:$AH$5="土日祝")*(IFERROR(WORKDAY(Requests!$D$3:$AH$3,1,Holidays!$A$4:$A$60),0)=J$3),0)),"m/d")&amp;")",IF(AND(MOD(DAY(J$3)+1-1,5)+1&lt;=J$6,COUNTIF(F8:I8,"日勤")&lt;Settings!$B$7),"日勤",""))))</x:f>
        <x:v>日勤</x:v>
      </x:c>
      <x:c r="K8" s="25" t="str">
        <x:f>IF(K$3="","",IF(Requests!K8="休","休",IF(SUMPRODUCT(--(Requests!$D8:$AH8="休"),--(Requests!$D$5:$AH$5="土日祝"),--(IFERROR(WORKDAY(Requests!$D$3:$AH$3,1,Holidays!$A$4:$A$60),0)=K$3))&gt;0,"振休("&amp;TEXT(INDEX(Requests!$D$3:$AH$3,1,MATCH(1,(Requests!$D8:$AH8="休")*(Requests!$D$5:$AH$5="土日祝")*(IFERROR(WORKDAY(Requests!$D$3:$AH$3,1,Holidays!$A$4:$A$60),0)=K$3),0)),"m/d")&amp;")",IF(AND(MOD(DAY(K$3)+1-1,5)+1&lt;=K$6,COUNTIF(G8:J8,"日勤")&lt;Settings!$B$7),"日勤",""))))</x:f>
      </x:c>
      <x:c r="L8" s="25" t="str">
        <x:f>IF(L$3="","",IF(Requests!L8="休","休",IF(SUMPRODUCT(--(Requests!$D8:$AH8="休"),--(Requests!$D$5:$AH$5="土日祝"),--(IFERROR(WORKDAY(Requests!$D$3:$AH$3,1,Holidays!$A$4:$A$60),0)=L$3))&gt;0,"振休("&amp;TEXT(INDEX(Requests!$D$3:$AH$3,1,MATCH(1,(Requests!$D8:$AH8="休")*(Requests!$D$5:$AH$5="土日祝")*(IFERROR(WORKDAY(Requests!$D$3:$AH$3,1,Holidays!$A$4:$A$60),0)=L$3),0)),"m/d")&amp;")",IF(AND(MOD(DAY(L$3)+1-1,5)+1&lt;=L$6,COUNTIF(H8:K8,"日勤")&lt;Settings!$B$7),"日勤",""))))</x:f>
      </x:c>
      <x:c r="M8" s="25" t="str">
        <x:f>IF(M$3="","",IF(Requests!M8="休","休",IF(SUMPRODUCT(--(Requests!$D8:$AH8="休"),--(Requests!$D$5:$AH$5="土日祝"),--(IFERROR(WORKDAY(Requests!$D$3:$AH$3,1,Holidays!$A$4:$A$60),0)=M$3))&gt;0,"振休("&amp;TEXT(INDEX(Requests!$D$3:$AH$3,1,MATCH(1,(Requests!$D8:$AH8="休")*(Requests!$D$5:$AH$5="土日祝")*(IFERROR(WORKDAY(Requests!$D$3:$AH$3,1,Holidays!$A$4:$A$60),0)=M$3),0)),"m/d")&amp;")",IF(AND(MOD(DAY(M$3)+1-1,5)+1&lt;=M$6,COUNTIF(I8:L8,"日勤")&lt;Settings!$B$7),"日勤",""))))</x:f>
        <x:v>日勤</x:v>
      </x:c>
      <x:c r="N8" s="25" t="str">
        <x:f>IF(N$3="","",IF(Requests!N8="休","休",IF(SUMPRODUCT(--(Requests!$D8:$AH8="休"),--(Requests!$D$5:$AH$5="土日祝"),--(IFERROR(WORKDAY(Requests!$D$3:$AH$3,1,Holidays!$A$4:$A$60),0)=N$3))&gt;0,"振休("&amp;TEXT(INDEX(Requests!$D$3:$AH$3,1,MATCH(1,(Requests!$D8:$AH8="休")*(Requests!$D$5:$AH$5="土日祝")*(IFERROR(WORKDAY(Requests!$D$3:$AH$3,1,Holidays!$A$4:$A$60),0)=N$3),0)),"m/d")&amp;")",IF(AND(MOD(DAY(N$3)+1-1,5)+1&lt;=N$6,COUNTIF(J8:M8,"日勤")&lt;Settings!$B$7),"日勤",""))))</x:f>
        <x:v>日勤</x:v>
      </x:c>
      <x:c r="O8" s="25" t="str">
        <x:f>IF(O$3="","",IF(Requests!O8="休","休",IF(SUMPRODUCT(--(Requests!$D8:$AH8="休"),--(Requests!$D$5:$AH$5="土日祝"),--(IFERROR(WORKDAY(Requests!$D$3:$AH$3,1,Holidays!$A$4:$A$60),0)=O$3))&gt;0,"振休("&amp;TEXT(INDEX(Requests!$D$3:$AH$3,1,MATCH(1,(Requests!$D8:$AH8="休")*(Requests!$D$5:$AH$5="土日祝")*(IFERROR(WORKDAY(Requests!$D$3:$AH$3,1,Holidays!$A$4:$A$60),0)=O$3),0)),"m/d")&amp;")",IF(AND(MOD(DAY(O$3)+1-1,5)+1&lt;=O$6,COUNTIF(K8:N8,"日勤")&lt;Settings!$B$7),"日勤",""))))</x:f>
      </x:c>
      <x:c r="P8" s="25" t="str">
        <x:f>IF(P$3="","",IF(Requests!P8="休","休",IF(SUMPRODUCT(--(Requests!$D8:$AH8="休"),--(Requests!$D$5:$AH$5="土日祝"),--(IFERROR(WORKDAY(Requests!$D$3:$AH$3,1,Holidays!$A$4:$A$60),0)=P$3))&gt;0,"振休("&amp;TEXT(INDEX(Requests!$D$3:$AH$3,1,MATCH(1,(Requests!$D8:$AH8="休")*(Requests!$D$5:$AH$5="土日祝")*(IFERROR(WORKDAY(Requests!$D$3:$AH$3,1,Holidays!$A$4:$A$60),0)=P$3),0)),"m/d")&amp;")",IF(AND(MOD(DAY(P$3)+1-1,5)+1&lt;=P$6,COUNTIF(L8:O8,"日勤")&lt;Settings!$B$7),"日勤",""))))</x:f>
      </x:c>
      <x:c r="Q8" s="25" t="str">
        <x:f>IF(Q$3="","",IF(Requests!Q8="休","休",IF(SUMPRODUCT(--(Requests!$D8:$AH8="休"),--(Requests!$D$5:$AH$5="土日祝"),--(IFERROR(WORKDAY(Requests!$D$3:$AH$3,1,Holidays!$A$4:$A$60),0)=Q$3))&gt;0,"振休("&amp;TEXT(INDEX(Requests!$D$3:$AH$3,1,MATCH(1,(Requests!$D8:$AH8="休")*(Requests!$D$5:$AH$5="土日祝")*(IFERROR(WORKDAY(Requests!$D$3:$AH$3,1,Holidays!$A$4:$A$60),0)=Q$3),0)),"m/d")&amp;")",IF(AND(MOD(DAY(Q$3)+1-1,5)+1&lt;=Q$6,COUNTIF(M8:P8,"日勤")&lt;Settings!$B$7),"日勤",""))))</x:f>
      </x:c>
      <x:c r="R8" s="25" t="str">
        <x:f>IF(R$3="","",IF(Requests!R8="休","休",IF(SUMPRODUCT(--(Requests!$D8:$AH8="休"),--(Requests!$D$5:$AH$5="土日祝"),--(IFERROR(WORKDAY(Requests!$D$3:$AH$3,1,Holidays!$A$4:$A$60),0)=R$3))&gt;0,"振休("&amp;TEXT(INDEX(Requests!$D$3:$AH$3,1,MATCH(1,(Requests!$D8:$AH8="休")*(Requests!$D$5:$AH$5="土日祝")*(IFERROR(WORKDAY(Requests!$D$3:$AH$3,1,Holidays!$A$4:$A$60),0)=R$3),0)),"m/d")&amp;")",IF(AND(MOD(DAY(R$3)+1-1,5)+1&lt;=R$6,COUNTIF(N8:Q8,"日勤")&lt;Settings!$B$7),"日勤",""))))</x:f>
        <x:v>日勤</x:v>
      </x:c>
      <x:c r="S8" s="25" t="str">
        <x:f>IF(S$3="","",IF(Requests!S8="休","休",IF(SUMPRODUCT(--(Requests!$D8:$AH8="休"),--(Requests!$D$5:$AH$5="土日祝"),--(IFERROR(WORKDAY(Requests!$D$3:$AH$3,1,Holidays!$A$4:$A$60),0)=S$3))&gt;0,"振休("&amp;TEXT(INDEX(Requests!$D$3:$AH$3,1,MATCH(1,(Requests!$D8:$AH8="休")*(Requests!$D$5:$AH$5="土日祝")*(IFERROR(WORKDAY(Requests!$D$3:$AH$3,1,Holidays!$A$4:$A$60),0)=S$3),0)),"m/d")&amp;")",IF(AND(MOD(DAY(S$3)+1-1,5)+1&lt;=S$6,COUNTIF(O8:R8,"日勤")&lt;Settings!$B$7),"日勤",""))))</x:f>
        <x:v>日勤</x:v>
      </x:c>
      <x:c r="T8" s="25" t="str">
        <x:f>IF(T$3="","",IF(Requests!T8="休","休",IF(SUMPRODUCT(--(Requests!$D8:$AH8="休"),--(Requests!$D$5:$AH$5="土日祝"),--(IFERROR(WORKDAY(Requests!$D$3:$AH$3,1,Holidays!$A$4:$A$60),0)=T$3))&gt;0,"振休("&amp;TEXT(INDEX(Requests!$D$3:$AH$3,1,MATCH(1,(Requests!$D8:$AH8="休")*(Requests!$D$5:$AH$5="土日祝")*(IFERROR(WORKDAY(Requests!$D$3:$AH$3,1,Holidays!$A$4:$A$60),0)=T$3),0)),"m/d")&amp;")",IF(AND(MOD(DAY(T$3)+1-1,5)+1&lt;=T$6,COUNTIF(P8:S8,"日勤")&lt;Settings!$B$7),"日勤",""))))</x:f>
      </x:c>
      <x:c r="U8" s="25" t="str">
        <x:f>IF(U$3="","",IF(Requests!U8="休","休",IF(SUMPRODUCT(--(Requests!$D8:$AH8="休"),--(Requests!$D$5:$AH$5="土日祝"),--(IFERROR(WORKDAY(Requests!$D$3:$AH$3,1,Holidays!$A$4:$A$60),0)=U$3))&gt;0,"振休("&amp;TEXT(INDEX(Requests!$D$3:$AH$3,1,MATCH(1,(Requests!$D8:$AH8="休")*(Requests!$D$5:$AH$5="土日祝")*(IFERROR(WORKDAY(Requests!$D$3:$AH$3,1,Holidays!$A$4:$A$60),0)=U$3),0)),"m/d")&amp;")",IF(AND(MOD(DAY(U$3)+1-1,5)+1&lt;=U$6,COUNTIF(Q8:T8,"日勤")&lt;Settings!$B$7),"日勤",""))))</x:f>
      </x:c>
      <x:c r="V8" s="25" t="str">
        <x:f>IF(V$3="","",IF(Requests!V8="休","休",IF(SUMPRODUCT(--(Requests!$D8:$AH8="休"),--(Requests!$D$5:$AH$5="土日祝"),--(IFERROR(WORKDAY(Requests!$D$3:$AH$3,1,Holidays!$A$4:$A$60),0)=V$3))&gt;0,"振休("&amp;TEXT(INDEX(Requests!$D$3:$AH$3,1,MATCH(1,(Requests!$D8:$AH8="休")*(Requests!$D$5:$AH$5="土日祝")*(IFERROR(WORKDAY(Requests!$D$3:$AH$3,1,Holidays!$A$4:$A$60),0)=V$3),0)),"m/d")&amp;")",IF(AND(MOD(DAY(V$3)+1-1,5)+1&lt;=V$6,COUNTIF(R8:U8,"日勤")&lt;Settings!$B$7),"日勤",""))))</x:f>
      </x:c>
      <x:c r="W8" s="25" t="str">
        <x:f>IF(W$3="","",IF(Requests!W8="休","休",IF(SUMPRODUCT(--(Requests!$D8:$AH8="休"),--(Requests!$D$5:$AH$5="土日祝"),--(IFERROR(WORKDAY(Requests!$D$3:$AH$3,1,Holidays!$A$4:$A$60),0)=W$3))&gt;0,"振休("&amp;TEXT(INDEX(Requests!$D$3:$AH$3,1,MATCH(1,(Requests!$D8:$AH8="休")*(Requests!$D$5:$AH$5="土日祝")*(IFERROR(WORKDAY(Requests!$D$3:$AH$3,1,Holidays!$A$4:$A$60),0)=W$3),0)),"m/d")&amp;")",IF(AND(MOD(DAY(W$3)+1-1,5)+1&lt;=W$6,COUNTIF(S8:V8,"日勤")&lt;Settings!$B$7),"日勤",""))))</x:f>
        <x:v>日勤</x:v>
      </x:c>
      <x:c r="X8" s="25" t="str">
        <x:f>IF(X$3="","",IF(Requests!X8="休","休",IF(SUMPRODUCT(--(Requests!$D8:$AH8="休"),--(Requests!$D$5:$AH$5="土日祝"),--(IFERROR(WORKDAY(Requests!$D$3:$AH$3,1,Holidays!$A$4:$A$60),0)=X$3))&gt;0,"振休("&amp;TEXT(INDEX(Requests!$D$3:$AH$3,1,MATCH(1,(Requests!$D8:$AH8="休")*(Requests!$D$5:$AH$5="土日祝")*(IFERROR(WORKDAY(Requests!$D$3:$AH$3,1,Holidays!$A$4:$A$60),0)=X$3),0)),"m/d")&amp;")",IF(AND(MOD(DAY(X$3)+1-1,5)+1&lt;=X$6,COUNTIF(T8:W8,"日勤")&lt;Settings!$B$7),"日勤",""))))</x:f>
        <x:v>日勤</x:v>
      </x:c>
      <x:c r="Y8" s="25" t="str">
        <x:f>IF(Y$3="","",IF(Requests!Y8="休","休",IF(SUMPRODUCT(--(Requests!$D8:$AH8="休"),--(Requests!$D$5:$AH$5="土日祝"),--(IFERROR(WORKDAY(Requests!$D$3:$AH$3,1,Holidays!$A$4:$A$60),0)=Y$3))&gt;0,"振休("&amp;TEXT(INDEX(Requests!$D$3:$AH$3,1,MATCH(1,(Requests!$D8:$AH8="休")*(Requests!$D$5:$AH$5="土日祝")*(IFERROR(WORKDAY(Requests!$D$3:$AH$3,1,Holidays!$A$4:$A$60),0)=Y$3),0)),"m/d")&amp;")",IF(AND(MOD(DAY(Y$3)+1-1,5)+1&lt;=Y$6,COUNTIF(U8:X8,"日勤")&lt;Settings!$B$7),"日勤",""))))</x:f>
      </x:c>
      <x:c r="Z8" s="25" t="str">
        <x:f>IF(Z$3="","",IF(Requests!Z8="休","休",IF(SUMPRODUCT(--(Requests!$D8:$AH8="休"),--(Requests!$D$5:$AH$5="土日祝"),--(IFERROR(WORKDAY(Requests!$D$3:$AH$3,1,Holidays!$A$4:$A$60),0)=Z$3))&gt;0,"振休("&amp;TEXT(INDEX(Requests!$D$3:$AH$3,1,MATCH(1,(Requests!$D8:$AH8="休")*(Requests!$D$5:$AH$5="土日祝")*(IFERROR(WORKDAY(Requests!$D$3:$AH$3,1,Holidays!$A$4:$A$60),0)=Z$3),0)),"m/d")&amp;")",IF(AND(MOD(DAY(Z$3)+1-1,5)+1&lt;=Z$6,COUNTIF(V8:Y8,"日勤")&lt;Settings!$B$7),"日勤",""))))</x:f>
      </x:c>
      <x:c r="AA8" s="25" t="str">
        <x:f>IF(AA$3="","",IF(Requests!AA8="休","休",IF(SUMPRODUCT(--(Requests!$D8:$AH8="休"),--(Requests!$D$5:$AH$5="土日祝"),--(IFERROR(WORKDAY(Requests!$D$3:$AH$3,1,Holidays!$A$4:$A$60),0)=AA$3))&gt;0,"振休("&amp;TEXT(INDEX(Requests!$D$3:$AH$3,1,MATCH(1,(Requests!$D8:$AH8="休")*(Requests!$D$5:$AH$5="土日祝")*(IFERROR(WORKDAY(Requests!$D$3:$AH$3,1,Holidays!$A$4:$A$60),0)=AA$3),0)),"m/d")&amp;")",IF(AND(MOD(DAY(AA$3)+1-1,5)+1&lt;=AA$6,COUNTIF(W8:Z8,"日勤")&lt;Settings!$B$7),"日勤",""))))</x:f>
      </x:c>
      <x:c r="AB8" s="25" t="str">
        <x:f>IF(AB$3="","",IF(Requests!AB8="休","休",IF(SUMPRODUCT(--(Requests!$D8:$AH8="休"),--(Requests!$D$5:$AH$5="土日祝"),--(IFERROR(WORKDAY(Requests!$D$3:$AH$3,1,Holidays!$A$4:$A$60),0)=AB$3))&gt;0,"振休("&amp;TEXT(INDEX(Requests!$D$3:$AH$3,1,MATCH(1,(Requests!$D8:$AH8="休")*(Requests!$D$5:$AH$5="土日祝")*(IFERROR(WORKDAY(Requests!$D$3:$AH$3,1,Holidays!$A$4:$A$60),0)=AB$3),0)),"m/d")&amp;")",IF(AND(MOD(DAY(AB$3)+1-1,5)+1&lt;=AB$6,COUNTIF(X8:AA8,"日勤")&lt;Settings!$B$7),"日勤",""))))</x:f>
        <x:v>日勤</x:v>
      </x:c>
      <x:c r="AC8" s="25" t="str">
        <x:f>IF(AC$3="","",IF(Requests!AC8="休","休",IF(SUMPRODUCT(--(Requests!$D8:$AH8="休"),--(Requests!$D$5:$AH$5="土日祝"),--(IFERROR(WORKDAY(Requests!$D$3:$AH$3,1,Holidays!$A$4:$A$60),0)=AC$3))&gt;0,"振休("&amp;TEXT(INDEX(Requests!$D$3:$AH$3,1,MATCH(1,(Requests!$D8:$AH8="休")*(Requests!$D$5:$AH$5="土日祝")*(IFERROR(WORKDAY(Requests!$D$3:$AH$3,1,Holidays!$A$4:$A$60),0)=AC$3),0)),"m/d")&amp;")",IF(AND(MOD(DAY(AC$3)+1-1,5)+1&lt;=AC$6,COUNTIF(Y8:AB8,"日勤")&lt;Settings!$B$7),"日勤",""))))</x:f>
        <x:v>日勤</x:v>
      </x:c>
      <x:c r="AD8" s="25" t="str">
        <x:f>IF(AD$3="","",IF(Requests!AD8="休","休",IF(SUMPRODUCT(--(Requests!$D8:$AH8="休"),--(Requests!$D$5:$AH$5="土日祝"),--(IFERROR(WORKDAY(Requests!$D$3:$AH$3,1,Holidays!$A$4:$A$60),0)=AD$3))&gt;0,"振休("&amp;TEXT(INDEX(Requests!$D$3:$AH$3,1,MATCH(1,(Requests!$D8:$AH8="休")*(Requests!$D$5:$AH$5="土日祝")*(IFERROR(WORKDAY(Requests!$D$3:$AH$3,1,Holidays!$A$4:$A$60),0)=AD$3),0)),"m/d")&amp;")",IF(AND(MOD(DAY(AD$3)+1-1,5)+1&lt;=AD$6,COUNTIF(Z8:AC8,"日勤")&lt;Settings!$B$7),"日勤",""))))</x:f>
        <x:v>日勤</x:v>
      </x:c>
      <x:c r="AE8" s="25" t="str">
        <x:f>IF(AE$3="","",IF(Requests!AE8="休","休",IF(SUMPRODUCT(--(Requests!$D8:$AH8="休"),--(Requests!$D$5:$AH$5="土日祝"),--(IFERROR(WORKDAY(Requests!$D$3:$AH$3,1,Holidays!$A$4:$A$60),0)=AE$3))&gt;0,"振休("&amp;TEXT(INDEX(Requests!$D$3:$AH$3,1,MATCH(1,(Requests!$D8:$AH8="休")*(Requests!$D$5:$AH$5="土日祝")*(IFERROR(WORKDAY(Requests!$D$3:$AH$3,1,Holidays!$A$4:$A$60),0)=AE$3),0)),"m/d")&amp;")",IF(AND(MOD(DAY(AE$3)+1-1,5)+1&lt;=AE$6,COUNTIF(AA8:AD8,"日勤")&lt;Settings!$B$7),"日勤",""))))</x:f>
      </x:c>
      <x:c r="AF8" s="25" t="str">
        <x:f>IF(AF$3="","",IF(Requests!AF8="休","休",IF(SUMPRODUCT(--(Requests!$D8:$AH8="休"),--(Requests!$D$5:$AH$5="土日祝"),--(IFERROR(WORKDAY(Requests!$D$3:$AH$3,1,Holidays!$A$4:$A$60),0)=AF$3))&gt;0,"振休("&amp;TEXT(INDEX(Requests!$D$3:$AH$3,1,MATCH(1,(Requests!$D8:$AH8="休")*(Requests!$D$5:$AH$5="土日祝")*(IFERROR(WORKDAY(Requests!$D$3:$AH$3,1,Holidays!$A$4:$A$60),0)=AF$3),0)),"m/d")&amp;")",IF(AND(MOD(DAY(AF$3)+1-1,5)+1&lt;=AF$6,COUNTIF(AB8:AE8,"日勤")&lt;Settings!$B$7),"日勤",""))))</x:f>
      </x:c>
      <x:c r="AG8" s="25" t="str">
        <x:f>IF(AG$3="","",IF(Requests!AG8="休","休",IF(SUMPRODUCT(--(Requests!$D8:$AH8="休"),--(Requests!$D$5:$AH$5="土日祝"),--(IFERROR(WORKDAY(Requests!$D$3:$AH$3,1,Holidays!$A$4:$A$60),0)=AG$3))&gt;0,"振休("&amp;TEXT(INDEX(Requests!$D$3:$AH$3,1,MATCH(1,(Requests!$D8:$AH8="休")*(Requests!$D$5:$AH$5="土日祝")*(IFERROR(WORKDAY(Requests!$D$3:$AH$3,1,Holidays!$A$4:$A$60),0)=AG$3),0)),"m/d")&amp;")",IF(AND(MOD(DAY(AG$3)+1-1,5)+1&lt;=AG$6,COUNTIF(AC8:AF8,"日勤")&lt;Settings!$B$7),"日勤",""))))</x:f>
        <x:v>日勤</x:v>
      </x:c>
      <x:c r="AH8" s="25" t="str">
        <x:f>IF(AH$3="","",IF(Requests!AH8="休","休",IF(SUMPRODUCT(--(Requests!$D8:$AH8="休"),--(Requests!$D$5:$AH$5="土日祝"),--(IFERROR(WORKDAY(Requests!$D$3:$AH$3,1,Holidays!$A$4:$A$60),0)=AH$3))&gt;0,"振休("&amp;TEXT(INDEX(Requests!$D$3:$AH$3,1,MATCH(1,(Requests!$D8:$AH8="休")*(Requests!$D$5:$AH$5="土日祝")*(IFERROR(WORKDAY(Requests!$D$3:$AH$3,1,Holidays!$A$4:$A$60),0)=AH$3),0)),"m/d")&amp;")",IF(AND(MOD(DAY(AH$3)+1-1,5)+1&lt;=AH$6,COUNTIF(AD8:AG8,"日勤")&lt;Settings!$B$7),"日勤",""))))</x:f>
      </x:c>
    </x:row>
    <x:row r="9">
      <x:c r="A9" s="9" t="str">
        <x:f>Settings!B12</x:f>
        <x:v>スタッフC</x:v>
      </x:c>
      <x:c r="B9" s="9" t="n">
        <x:f>COUNTIF(D9:AH9,"日勤")</x:f>
        <x:v>14</x:v>
      </x:c>
      <x:c r="C9" s="9" t="n">
        <x:f>SUMPRODUCT(--(D9:AH9="日勤"),--($D$5:$AH$5="土日祝"))</x:f>
        <x:v>4</x:v>
      </x:c>
      <x:c r="D9" s="25" t="str">
        <x:f>IF(D$3="","",IF(Requests!D9="休","休",IF(SUMPRODUCT(--(Requests!$D9:$AH9="休"),--(Requests!$D$5:$AH$5="土日祝"),--(IFERROR(WORKDAY(Requests!$D$3:$AH$3,1,Holidays!$A$4:$A$60),0)=D$3))&gt;0,"振休("&amp;TEXT(INDEX(Requests!$D$3:$AH$3,1,MATCH(1,(Requests!$D9:$AH9="休")*(Requests!$D$5:$AH$5="土日祝")*(IFERROR(WORKDAY(Requests!$D$3:$AH$3,1,Holidays!$A$4:$A$60),0)=D$3),0)),"m/d")&amp;")",IF(AND(MOD(DAY(D$3)+2-1,5)+1&lt;=D$6,0&lt;Settings!$B$7),"日勤",""))))</x:f>
      </x:c>
      <x:c r="E9" s="25" t="str">
        <x:f>IF(E$3="","",IF(Requests!E9="休","休",IF(SUMPRODUCT(--(Requests!$D9:$AH9="休"),--(Requests!$D$5:$AH$5="土日祝"),--(IFERROR(WORKDAY(Requests!$D$3:$AH$3,1,Holidays!$A$4:$A$60),0)=E$3))&gt;0,"振休("&amp;TEXT(INDEX(Requests!$D$3:$AH$3,1,MATCH(1,(Requests!$D9:$AH9="休")*(Requests!$D$5:$AH$5="土日祝")*(IFERROR(WORKDAY(Requests!$D$3:$AH$3,1,Holidays!$A$4:$A$60),0)=E$3),0)),"m/d")&amp;")",IF(AND(MOD(DAY(E$3)+2-1,5)+1&lt;=E$6,COUNTIF(D9:D9,"日勤")&lt;Settings!$B$7),"日勤",""))))</x:f>
      </x:c>
      <x:c r="F9" s="25" t="str">
        <x:f>IF(F$3="","",IF(Requests!F9="休","休",IF(SUMPRODUCT(--(Requests!$D9:$AH9="休"),--(Requests!$D$5:$AH$5="土日祝"),--(IFERROR(WORKDAY(Requests!$D$3:$AH$3,1,Holidays!$A$4:$A$60),0)=F$3))&gt;0,"振休("&amp;TEXT(INDEX(Requests!$D$3:$AH$3,1,MATCH(1,(Requests!$D9:$AH9="休")*(Requests!$D$5:$AH$5="土日祝")*(IFERROR(WORKDAY(Requests!$D$3:$AH$3,1,Holidays!$A$4:$A$60),0)=F$3),0)),"m/d")&amp;")",IF(AND(MOD(DAY(F$3)+2-1,5)+1&lt;=F$6,COUNTIF(D9:E9,"日勤")&lt;Settings!$B$7),"日勤",""))))</x:f>
      </x:c>
      <x:c r="G9" s="25" t="str">
        <x:f>IF(G$3="","",IF(Requests!G9="休","休",IF(SUMPRODUCT(--(Requests!$D9:$AH9="休"),--(Requests!$D$5:$AH$5="土日祝"),--(IFERROR(WORKDAY(Requests!$D$3:$AH$3,1,Holidays!$A$4:$A$60),0)=G$3))&gt;0,"振休("&amp;TEXT(INDEX(Requests!$D$3:$AH$3,1,MATCH(1,(Requests!$D9:$AH9="休")*(Requests!$D$5:$AH$5="土日祝")*(IFERROR(WORKDAY(Requests!$D$3:$AH$3,1,Holidays!$A$4:$A$60),0)=G$3),0)),"m/d")&amp;")",IF(AND(MOD(DAY(G$3)+2-1,5)+1&lt;=G$6,COUNTIF(D9:F9,"日勤")&lt;Settings!$B$7),"日勤",""))))</x:f>
        <x:v>日勤</x:v>
      </x:c>
      <x:c r="H9" s="25" t="str">
        <x:f>IF(H$3="","",IF(Requests!H9="休","休",IF(SUMPRODUCT(--(Requests!$D9:$AH9="休"),--(Requests!$D$5:$AH$5="土日祝"),--(IFERROR(WORKDAY(Requests!$D$3:$AH$3,1,Holidays!$A$4:$A$60),0)=H$3))&gt;0,"振休("&amp;TEXT(INDEX(Requests!$D$3:$AH$3,1,MATCH(1,(Requests!$D9:$AH9="休")*(Requests!$D$5:$AH$5="土日祝")*(IFERROR(WORKDAY(Requests!$D$3:$AH$3,1,Holidays!$A$4:$A$60),0)=H$3),0)),"m/d")&amp;")",IF(AND(MOD(DAY(H$3)+2-1,5)+1&lt;=H$6,COUNTIF(D9:G9,"日勤")&lt;Settings!$B$7),"日勤",""))))</x:f>
        <x:v>日勤</x:v>
      </x:c>
      <x:c r="I9" s="25" t="str">
        <x:f>IF(I$3="","",IF(Requests!I9="休","休",IF(SUMPRODUCT(--(Requests!$D9:$AH9="休"),--(Requests!$D$5:$AH$5="土日祝"),--(IFERROR(WORKDAY(Requests!$D$3:$AH$3,1,Holidays!$A$4:$A$60),0)=I$3))&gt;0,"振休("&amp;TEXT(INDEX(Requests!$D$3:$AH$3,1,MATCH(1,(Requests!$D9:$AH9="休")*(Requests!$D$5:$AH$5="土日祝")*(IFERROR(WORKDAY(Requests!$D$3:$AH$3,1,Holidays!$A$4:$A$60),0)=I$3),0)),"m/d")&amp;")",IF(AND(MOD(DAY(I$3)+2-1,5)+1&lt;=I$6,COUNTIF(E9:H9,"日勤")&lt;Settings!$B$7),"日勤",""))))</x:f>
        <x:v>日勤</x:v>
      </x:c>
      <x:c r="J9" s="25" t="str">
        <x:f>IF(J$3="","",IF(Requests!J9="休","休",IF(SUMPRODUCT(--(Requests!$D9:$AH9="休"),--(Requests!$D$5:$AH$5="土日祝"),--(IFERROR(WORKDAY(Requests!$D$3:$AH$3,1,Holidays!$A$4:$A$60),0)=J$3))&gt;0,"振休("&amp;TEXT(INDEX(Requests!$D$3:$AH$3,1,MATCH(1,(Requests!$D9:$AH9="休")*(Requests!$D$5:$AH$5="土日祝")*(IFERROR(WORKDAY(Requests!$D$3:$AH$3,1,Holidays!$A$4:$A$60),0)=J$3),0)),"m/d")&amp;")",IF(AND(MOD(DAY(J$3)+2-1,5)+1&lt;=J$6,COUNTIF(F9:I9,"日勤")&lt;Settings!$B$7),"日勤",""))))</x:f>
      </x:c>
      <x:c r="K9" s="25" t="str">
        <x:f>IF(K$3="","",IF(Requests!K9="休","休",IF(SUMPRODUCT(--(Requests!$D9:$AH9="休"),--(Requests!$D$5:$AH$5="土日祝"),--(IFERROR(WORKDAY(Requests!$D$3:$AH$3,1,Holidays!$A$4:$A$60),0)=K$3))&gt;0,"振休("&amp;TEXT(INDEX(Requests!$D$3:$AH$3,1,MATCH(1,(Requests!$D9:$AH9="休")*(Requests!$D$5:$AH$5="土日祝")*(IFERROR(WORKDAY(Requests!$D$3:$AH$3,1,Holidays!$A$4:$A$60),0)=K$3),0)),"m/d")&amp;")",IF(AND(MOD(DAY(K$3)+2-1,5)+1&lt;=K$6,COUNTIF(G9:J9,"日勤")&lt;Settings!$B$7),"日勤",""))))</x:f>
      </x:c>
      <x:c r="L9" s="25" t="str">
        <x:f>IF(L$3="","",IF(Requests!L9="休","休",IF(SUMPRODUCT(--(Requests!$D9:$AH9="休"),--(Requests!$D$5:$AH$5="土日祝"),--(IFERROR(WORKDAY(Requests!$D$3:$AH$3,1,Holidays!$A$4:$A$60),0)=L$3))&gt;0,"振休("&amp;TEXT(INDEX(Requests!$D$3:$AH$3,1,MATCH(1,(Requests!$D9:$AH9="休")*(Requests!$D$5:$AH$5="土日祝")*(IFERROR(WORKDAY(Requests!$D$3:$AH$3,1,Holidays!$A$4:$A$60),0)=L$3),0)),"m/d")&amp;")",IF(AND(MOD(DAY(L$3)+2-1,5)+1&lt;=L$6,COUNTIF(H9:K9,"日勤")&lt;Settings!$B$7),"日勤",""))))</x:f>
        <x:v>日勤</x:v>
      </x:c>
      <x:c r="M9" s="25" t="str">
        <x:f>IF(M$3="","",IF(Requests!M9="休","休",IF(SUMPRODUCT(--(Requests!$D9:$AH9="休"),--(Requests!$D$5:$AH$5="土日祝"),--(IFERROR(WORKDAY(Requests!$D$3:$AH$3,1,Holidays!$A$4:$A$60),0)=M$3))&gt;0,"振休("&amp;TEXT(INDEX(Requests!$D$3:$AH$3,1,MATCH(1,(Requests!$D9:$AH9="休")*(Requests!$D$5:$AH$5="土日祝")*(IFERROR(WORKDAY(Requests!$D$3:$AH$3,1,Holidays!$A$4:$A$60),0)=M$3),0)),"m/d")&amp;")",IF(AND(MOD(DAY(M$3)+2-1,5)+1&lt;=M$6,COUNTIF(I9:L9,"日勤")&lt;Settings!$B$7),"日勤",""))))</x:f>
        <x:v>日勤</x:v>
      </x:c>
      <x:c r="N9" s="25" t="str">
        <x:f>IF(N$3="","",IF(Requests!N9="休","休",IF(SUMPRODUCT(--(Requests!$D9:$AH9="休"),--(Requests!$D$5:$AH$5="土日祝"),--(IFERROR(WORKDAY(Requests!$D$3:$AH$3,1,Holidays!$A$4:$A$60),0)=N$3))&gt;0,"振休("&amp;TEXT(INDEX(Requests!$D$3:$AH$3,1,MATCH(1,(Requests!$D9:$AH9="休")*(Requests!$D$5:$AH$5="土日祝")*(IFERROR(WORKDAY(Requests!$D$3:$AH$3,1,Holidays!$A$4:$A$60),0)=N$3),0)),"m/d")&amp;")",IF(AND(MOD(DAY(N$3)+2-1,5)+1&lt;=N$6,COUNTIF(J9:M9,"日勤")&lt;Settings!$B$7),"日勤",""))))</x:f>
      </x:c>
      <x:c r="O9" s="25" t="str">
        <x:f>IF(O$3="","",IF(Requests!O9="休","休",IF(SUMPRODUCT(--(Requests!$D9:$AH9="休"),--(Requests!$D$5:$AH$5="土日祝"),--(IFERROR(WORKDAY(Requests!$D$3:$AH$3,1,Holidays!$A$4:$A$60),0)=O$3))&gt;0,"振休("&amp;TEXT(INDEX(Requests!$D$3:$AH$3,1,MATCH(1,(Requests!$D9:$AH9="休")*(Requests!$D$5:$AH$5="土日祝")*(IFERROR(WORKDAY(Requests!$D$3:$AH$3,1,Holidays!$A$4:$A$60),0)=O$3),0)),"m/d")&amp;")",IF(AND(MOD(DAY(O$3)+2-1,5)+1&lt;=O$6,COUNTIF(K9:N9,"日勤")&lt;Settings!$B$7),"日勤",""))))</x:f>
      </x:c>
      <x:c r="P9" s="25" t="str">
        <x:f>IF(P$3="","",IF(Requests!P9="休","休",IF(SUMPRODUCT(--(Requests!$D9:$AH9="休"),--(Requests!$D$5:$AH$5="土日祝"),--(IFERROR(WORKDAY(Requests!$D$3:$AH$3,1,Holidays!$A$4:$A$60),0)=P$3))&gt;0,"振休("&amp;TEXT(INDEX(Requests!$D$3:$AH$3,1,MATCH(1,(Requests!$D9:$AH9="休")*(Requests!$D$5:$AH$5="土日祝")*(IFERROR(WORKDAY(Requests!$D$3:$AH$3,1,Holidays!$A$4:$A$60),0)=P$3),0)),"m/d")&amp;")",IF(AND(MOD(DAY(P$3)+2-1,5)+1&lt;=P$6,COUNTIF(L9:O9,"日勤")&lt;Settings!$B$7),"日勤",""))))</x:f>
      </x:c>
      <x:c r="Q9" s="25" t="str">
        <x:f>IF(Q$3="","",IF(Requests!Q9="休","休",IF(SUMPRODUCT(--(Requests!$D9:$AH9="休"),--(Requests!$D$5:$AH$5="土日祝"),--(IFERROR(WORKDAY(Requests!$D$3:$AH$3,1,Holidays!$A$4:$A$60),0)=Q$3))&gt;0,"振休("&amp;TEXT(INDEX(Requests!$D$3:$AH$3,1,MATCH(1,(Requests!$D9:$AH9="休")*(Requests!$D$5:$AH$5="土日祝")*(IFERROR(WORKDAY(Requests!$D$3:$AH$3,1,Holidays!$A$4:$A$60),0)=Q$3),0)),"m/d")&amp;")",IF(AND(MOD(DAY(Q$3)+2-1,5)+1&lt;=Q$6,COUNTIF(M9:P9,"日勤")&lt;Settings!$B$7),"日勤",""))))</x:f>
        <x:v>日勤</x:v>
      </x:c>
      <x:c r="R9" s="25" t="str">
        <x:f>IF(R$3="","",IF(Requests!R9="休","休",IF(SUMPRODUCT(--(Requests!$D9:$AH9="休"),--(Requests!$D$5:$AH$5="土日祝"),--(IFERROR(WORKDAY(Requests!$D$3:$AH$3,1,Holidays!$A$4:$A$60),0)=R$3))&gt;0,"振休("&amp;TEXT(INDEX(Requests!$D$3:$AH$3,1,MATCH(1,(Requests!$D9:$AH9="休")*(Requests!$D$5:$AH$5="土日祝")*(IFERROR(WORKDAY(Requests!$D$3:$AH$3,1,Holidays!$A$4:$A$60),0)=R$3),0)),"m/d")&amp;")",IF(AND(MOD(DAY(R$3)+2-1,5)+1&lt;=R$6,COUNTIF(N9:Q9,"日勤")&lt;Settings!$B$7),"日勤",""))))</x:f>
        <x:v>日勤</x:v>
      </x:c>
      <x:c r="S9" s="25" t="str">
        <x:f>IF(S$3="","",IF(Requests!S9="休","休",IF(SUMPRODUCT(--(Requests!$D9:$AH9="休"),--(Requests!$D$5:$AH$5="土日祝"),--(IFERROR(WORKDAY(Requests!$D$3:$AH$3,1,Holidays!$A$4:$A$60),0)=S$3))&gt;0,"振休("&amp;TEXT(INDEX(Requests!$D$3:$AH$3,1,MATCH(1,(Requests!$D9:$AH9="休")*(Requests!$D$5:$AH$5="土日祝")*(IFERROR(WORKDAY(Requests!$D$3:$AH$3,1,Holidays!$A$4:$A$60),0)=S$3),0)),"m/d")&amp;")",IF(AND(MOD(DAY(S$3)+2-1,5)+1&lt;=S$6,COUNTIF(O9:R9,"日勤")&lt;Settings!$B$7),"日勤",""))))</x:f>
      </x:c>
      <x:c r="T9" s="25" t="str">
        <x:f>IF(T$3="","",IF(Requests!T9="休","休",IF(SUMPRODUCT(--(Requests!$D9:$AH9="休"),--(Requests!$D$5:$AH$5="土日祝"),--(IFERROR(WORKDAY(Requests!$D$3:$AH$3,1,Holidays!$A$4:$A$60),0)=T$3))&gt;0,"振休("&amp;TEXT(INDEX(Requests!$D$3:$AH$3,1,MATCH(1,(Requests!$D9:$AH9="休")*(Requests!$D$5:$AH$5="土日祝")*(IFERROR(WORKDAY(Requests!$D$3:$AH$3,1,Holidays!$A$4:$A$60),0)=T$3),0)),"m/d")&amp;")",IF(AND(MOD(DAY(T$3)+2-1,5)+1&lt;=T$6,COUNTIF(P9:S9,"日勤")&lt;Settings!$B$7),"日勤",""))))</x:f>
      </x:c>
      <x:c r="U9" s="25" t="str">
        <x:f>IF(U$3="","",IF(Requests!U9="休","休",IF(SUMPRODUCT(--(Requests!$D9:$AH9="休"),--(Requests!$D$5:$AH$5="土日祝"),--(IFERROR(WORKDAY(Requests!$D$3:$AH$3,1,Holidays!$A$4:$A$60),0)=U$3))&gt;0,"振休("&amp;TEXT(INDEX(Requests!$D$3:$AH$3,1,MATCH(1,(Requests!$D9:$AH9="休")*(Requests!$D$5:$AH$5="土日祝")*(IFERROR(WORKDAY(Requests!$D$3:$AH$3,1,Holidays!$A$4:$A$60),0)=U$3),0)),"m/d")&amp;")",IF(AND(MOD(DAY(U$3)+2-1,5)+1&lt;=U$6,COUNTIF(Q9:T9,"日勤")&lt;Settings!$B$7),"日勤",""))))</x:f>
      </x:c>
      <x:c r="V9" s="25" t="str">
        <x:f>IF(V$3="","",IF(Requests!V9="休","休",IF(SUMPRODUCT(--(Requests!$D9:$AH9="休"),--(Requests!$D$5:$AH$5="土日祝"),--(IFERROR(WORKDAY(Requests!$D$3:$AH$3,1,Holidays!$A$4:$A$60),0)=V$3))&gt;0,"振休("&amp;TEXT(INDEX(Requests!$D$3:$AH$3,1,MATCH(1,(Requests!$D9:$AH9="休")*(Requests!$D$5:$AH$5="土日祝")*(IFERROR(WORKDAY(Requests!$D$3:$AH$3,1,Holidays!$A$4:$A$60),0)=V$3),0)),"m/d")&amp;")",IF(AND(MOD(DAY(V$3)+2-1,5)+1&lt;=V$6,COUNTIF(R9:U9,"日勤")&lt;Settings!$B$7),"日勤",""))))</x:f>
        <x:v>日勤</x:v>
      </x:c>
      <x:c r="W9" s="25" t="str">
        <x:f>IF(W$3="","",IF(Requests!W9="休","休",IF(SUMPRODUCT(--(Requests!$D9:$AH9="休"),--(Requests!$D$5:$AH$5="土日祝"),--(IFERROR(WORKDAY(Requests!$D$3:$AH$3,1,Holidays!$A$4:$A$60),0)=W$3))&gt;0,"振休("&amp;TEXT(INDEX(Requests!$D$3:$AH$3,1,MATCH(1,(Requests!$D9:$AH9="休")*(Requests!$D$5:$AH$5="土日祝")*(IFERROR(WORKDAY(Requests!$D$3:$AH$3,1,Holidays!$A$4:$A$60),0)=W$3),0)),"m/d")&amp;")",IF(AND(MOD(DAY(W$3)+2-1,5)+1&lt;=W$6,COUNTIF(S9:V9,"日勤")&lt;Settings!$B$7),"日勤",""))))</x:f>
        <x:v>日勤</x:v>
      </x:c>
      <x:c r="X9" s="25" t="str">
        <x:f>IF(X$3="","",IF(Requests!X9="休","休",IF(SUMPRODUCT(--(Requests!$D9:$AH9="休"),--(Requests!$D$5:$AH$5="土日祝"),--(IFERROR(WORKDAY(Requests!$D$3:$AH$3,1,Holidays!$A$4:$A$60),0)=X$3))&gt;0,"振休("&amp;TEXT(INDEX(Requests!$D$3:$AH$3,1,MATCH(1,(Requests!$D9:$AH9="休")*(Requests!$D$5:$AH$5="土日祝")*(IFERROR(WORKDAY(Requests!$D$3:$AH$3,1,Holidays!$A$4:$A$60),0)=X$3),0)),"m/d")&amp;")",IF(AND(MOD(DAY(X$3)+2-1,5)+1&lt;=X$6,COUNTIF(T9:W9,"日勤")&lt;Settings!$B$7),"日勤",""))))</x:f>
        <x:v>日勤</x:v>
      </x:c>
      <x:c r="Y9" s="25" t="str">
        <x:f>IF(Y$3="","",IF(Requests!Y9="休","休",IF(SUMPRODUCT(--(Requests!$D9:$AH9="休"),--(Requests!$D$5:$AH$5="土日祝"),--(IFERROR(WORKDAY(Requests!$D$3:$AH$3,1,Holidays!$A$4:$A$60),0)=Y$3))&gt;0,"振休("&amp;TEXT(INDEX(Requests!$D$3:$AH$3,1,MATCH(1,(Requests!$D9:$AH9="休")*(Requests!$D$5:$AH$5="土日祝")*(IFERROR(WORKDAY(Requests!$D$3:$AH$3,1,Holidays!$A$4:$A$60),0)=Y$3),0)),"m/d")&amp;")",IF(AND(MOD(DAY(Y$3)+2-1,5)+1&lt;=Y$6,COUNTIF(U9:X9,"日勤")&lt;Settings!$B$7),"日勤",""))))</x:f>
      </x:c>
      <x:c r="Z9" s="25" t="str">
        <x:f>IF(Z$3="","",IF(Requests!Z9="休","休",IF(SUMPRODUCT(--(Requests!$D9:$AH9="休"),--(Requests!$D$5:$AH$5="土日祝"),--(IFERROR(WORKDAY(Requests!$D$3:$AH$3,1,Holidays!$A$4:$A$60),0)=Z$3))&gt;0,"振休("&amp;TEXT(INDEX(Requests!$D$3:$AH$3,1,MATCH(1,(Requests!$D9:$AH9="休")*(Requests!$D$5:$AH$5="土日祝")*(IFERROR(WORKDAY(Requests!$D$3:$AH$3,1,Holidays!$A$4:$A$60),0)=Z$3),0)),"m/d")&amp;")",IF(AND(MOD(DAY(Z$3)+2-1,5)+1&lt;=Z$6,COUNTIF(V9:Y9,"日勤")&lt;Settings!$B$7),"日勤",""))))</x:f>
      </x:c>
      <x:c r="AA9" s="25" t="str">
        <x:f>IF(AA$3="","",IF(Requests!AA9="休","休",IF(SUMPRODUCT(--(Requests!$D9:$AH9="休"),--(Requests!$D$5:$AH$5="土日祝"),--(IFERROR(WORKDAY(Requests!$D$3:$AH$3,1,Holidays!$A$4:$A$60),0)=AA$3))&gt;0,"振休("&amp;TEXT(INDEX(Requests!$D$3:$AH$3,1,MATCH(1,(Requests!$D9:$AH9="休")*(Requests!$D$5:$AH$5="土日祝")*(IFERROR(WORKDAY(Requests!$D$3:$AH$3,1,Holidays!$A$4:$A$60),0)=AA$3),0)),"m/d")&amp;")",IF(AND(MOD(DAY(AA$3)+2-1,5)+1&lt;=AA$6,COUNTIF(W9:Z9,"日勤")&lt;Settings!$B$7),"日勤",""))))</x:f>
        <x:v>日勤</x:v>
      </x:c>
      <x:c r="AB9" s="25" t="str">
        <x:f>IF(AB$3="","",IF(Requests!AB9="休","休",IF(SUMPRODUCT(--(Requests!$D9:$AH9="休"),--(Requests!$D$5:$AH$5="土日祝"),--(IFERROR(WORKDAY(Requests!$D$3:$AH$3,1,Holidays!$A$4:$A$60),0)=AB$3))&gt;0,"振休("&amp;TEXT(INDEX(Requests!$D$3:$AH$3,1,MATCH(1,(Requests!$D9:$AH9="休")*(Requests!$D$5:$AH$5="土日祝")*(IFERROR(WORKDAY(Requests!$D$3:$AH$3,1,Holidays!$A$4:$A$60),0)=AB$3),0)),"m/d")&amp;")",IF(AND(MOD(DAY(AB$3)+2-1,5)+1&lt;=AB$6,COUNTIF(X9:AA9,"日勤")&lt;Settings!$B$7),"日勤",""))))</x:f>
        <x:v>日勤</x:v>
      </x:c>
      <x:c r="AC9" s="25" t="str">
        <x:f>IF(AC$3="","",IF(Requests!AC9="休","休",IF(SUMPRODUCT(--(Requests!$D9:$AH9="休"),--(Requests!$D$5:$AH$5="土日祝"),--(IFERROR(WORKDAY(Requests!$D$3:$AH$3,1,Holidays!$A$4:$A$60),0)=AC$3))&gt;0,"振休("&amp;TEXT(INDEX(Requests!$D$3:$AH$3,1,MATCH(1,(Requests!$D9:$AH9="休")*(Requests!$D$5:$AH$5="土日祝")*(IFERROR(WORKDAY(Requests!$D$3:$AH$3,1,Holidays!$A$4:$A$60),0)=AC$3),0)),"m/d")&amp;")",IF(AND(MOD(DAY(AC$3)+2-1,5)+1&lt;=AC$6,COUNTIF(Y9:AB9,"日勤")&lt;Settings!$B$7),"日勤",""))))</x:f>
      </x:c>
      <x:c r="AD9" s="25" t="str">
        <x:f>IF(AD$3="","",IF(Requests!AD9="休","休",IF(SUMPRODUCT(--(Requests!$D9:$AH9="休"),--(Requests!$D$5:$AH$5="土日祝"),--(IFERROR(WORKDAY(Requests!$D$3:$AH$3,1,Holidays!$A$4:$A$60),0)=AD$3))&gt;0,"振休("&amp;TEXT(INDEX(Requests!$D$3:$AH$3,1,MATCH(1,(Requests!$D9:$AH9="休")*(Requests!$D$5:$AH$5="土日祝")*(IFERROR(WORKDAY(Requests!$D$3:$AH$3,1,Holidays!$A$4:$A$60),0)=AD$3),0)),"m/d")&amp;")",IF(AND(MOD(DAY(AD$3)+2-1,5)+1&lt;=AD$6,COUNTIF(Z9:AC9,"日勤")&lt;Settings!$B$7),"日勤",""))))</x:f>
      </x:c>
      <x:c r="AE9" s="25" t="str">
        <x:f>IF(AE$3="","",IF(Requests!AE9="休","休",IF(SUMPRODUCT(--(Requests!$D9:$AH9="休"),--(Requests!$D$5:$AH$5="土日祝"),--(IFERROR(WORKDAY(Requests!$D$3:$AH$3,1,Holidays!$A$4:$A$60),0)=AE$3))&gt;0,"振休("&amp;TEXT(INDEX(Requests!$D$3:$AH$3,1,MATCH(1,(Requests!$D9:$AH9="休")*(Requests!$D$5:$AH$5="土日祝")*(IFERROR(WORKDAY(Requests!$D$3:$AH$3,1,Holidays!$A$4:$A$60),0)=AE$3),0)),"m/d")&amp;")",IF(AND(MOD(DAY(AE$3)+2-1,5)+1&lt;=AE$6,COUNTIF(AA9:AD9,"日勤")&lt;Settings!$B$7),"日勤",""))))</x:f>
      </x:c>
      <x:c r="AF9" s="25" t="str">
        <x:f>IF(AF$3="","",IF(Requests!AF9="休","休",IF(SUMPRODUCT(--(Requests!$D9:$AH9="休"),--(Requests!$D$5:$AH$5="土日祝"),--(IFERROR(WORKDAY(Requests!$D$3:$AH$3,1,Holidays!$A$4:$A$60),0)=AF$3))&gt;0,"振休("&amp;TEXT(INDEX(Requests!$D$3:$AH$3,1,MATCH(1,(Requests!$D9:$AH9="休")*(Requests!$D$5:$AH$5="土日祝")*(IFERROR(WORKDAY(Requests!$D$3:$AH$3,1,Holidays!$A$4:$A$60),0)=AF$3),0)),"m/d")&amp;")",IF(AND(MOD(DAY(AF$3)+2-1,5)+1&lt;=AF$6,COUNTIF(AB9:AE9,"日勤")&lt;Settings!$B$7),"日勤",""))))</x:f>
        <x:v>日勤</x:v>
      </x:c>
      <x:c r="AG9" s="25" t="str">
        <x:f>IF(AG$3="","",IF(Requests!AG9="休","休",IF(SUMPRODUCT(--(Requests!$D9:$AH9="休"),--(Requests!$D$5:$AH$5="土日祝"),--(IFERROR(WORKDAY(Requests!$D$3:$AH$3,1,Holidays!$A$4:$A$60),0)=AG$3))&gt;0,"振休("&amp;TEXT(INDEX(Requests!$D$3:$AH$3,1,MATCH(1,(Requests!$D9:$AH9="休")*(Requests!$D$5:$AH$5="土日祝")*(IFERROR(WORKDAY(Requests!$D$3:$AH$3,1,Holidays!$A$4:$A$60),0)=AG$3),0)),"m/d")&amp;")",IF(AND(MOD(DAY(AG$3)+2-1,5)+1&lt;=AG$6,COUNTIF(AC9:AF9,"日勤")&lt;Settings!$B$7),"日勤",""))))</x:f>
        <x:v>日勤</x:v>
      </x:c>
      <x:c r="AH9" s="25" t="str">
        <x:f>IF(AH$3="","",IF(Requests!AH9="休","休",IF(SUMPRODUCT(--(Requests!$D9:$AH9="休"),--(Requests!$D$5:$AH$5="土日祝"),--(IFERROR(WORKDAY(Requests!$D$3:$AH$3,1,Holidays!$A$4:$A$60),0)=AH$3))&gt;0,"振休("&amp;TEXT(INDEX(Requests!$D$3:$AH$3,1,MATCH(1,(Requests!$D9:$AH9="休")*(Requests!$D$5:$AH$5="土日祝")*(IFERROR(WORKDAY(Requests!$D$3:$AH$3,1,Holidays!$A$4:$A$60),0)=AH$3),0)),"m/d")&amp;")",IF(AND(MOD(DAY(AH$3)+2-1,5)+1&lt;=AH$6,COUNTIF(AD9:AG9,"日勤")&lt;Settings!$B$7),"日勤",""))))</x:f>
      </x:c>
    </x:row>
    <x:row r="10">
      <x:c r="A10" s="9" t="str">
        <x:f>Settings!B13</x:f>
        <x:v>スタッフD</x:v>
      </x:c>
      <x:c r="B10" s="9" t="n">
        <x:f>COUNTIF(D10:AH10,"日勤")</x:f>
        <x:v>13</x:v>
      </x:c>
      <x:c r="C10" s="9" t="n">
        <x:f>SUMPRODUCT(--(D10:AH10="日勤"),--($D$5:$AH$5="土日祝"))</x:f>
        <x:v>4</x:v>
      </x:c>
      <x:c r="D10" s="25" t="str">
        <x:f>IF(D$3="","",IF(Requests!D10="休","休",IF(SUMPRODUCT(--(Requests!$D10:$AH10="休"),--(Requests!$D$5:$AH$5="土日祝"),--(IFERROR(WORKDAY(Requests!$D$3:$AH$3,1,Holidays!$A$4:$A$60),0)=D$3))&gt;0,"振休("&amp;TEXT(INDEX(Requests!$D$3:$AH$3,1,MATCH(1,(Requests!$D10:$AH10="休")*(Requests!$D$5:$AH$5="土日祝")*(IFERROR(WORKDAY(Requests!$D$3:$AH$3,1,Holidays!$A$4:$A$60),0)=D$3),0)),"m/d")&amp;")",IF(AND(MOD(DAY(D$3)+3-1,5)+1&lt;=D$6,0&lt;Settings!$B$7),"日勤",""))))</x:f>
      </x:c>
      <x:c r="E10" s="25" t="str">
        <x:f>IF(E$3="","",IF(Requests!E10="休","休",IF(SUMPRODUCT(--(Requests!$D10:$AH10="休"),--(Requests!$D$5:$AH$5="土日祝"),--(IFERROR(WORKDAY(Requests!$D$3:$AH$3,1,Holidays!$A$4:$A$60),0)=E$3))&gt;0,"振休("&amp;TEXT(INDEX(Requests!$D$3:$AH$3,1,MATCH(1,(Requests!$D10:$AH10="休")*(Requests!$D$5:$AH$5="土日祝")*(IFERROR(WORKDAY(Requests!$D$3:$AH$3,1,Holidays!$A$4:$A$60),0)=E$3),0)),"m/d")&amp;")",IF(AND(MOD(DAY(E$3)+3-1,5)+1&lt;=E$6,COUNTIF(D10:D10,"日勤")&lt;Settings!$B$7),"日勤",""))))</x:f>
      </x:c>
      <x:c r="F10" s="25" t="str">
        <x:f>IF(F$3="","",IF(Requests!F10="休","休",IF(SUMPRODUCT(--(Requests!$D10:$AH10="休"),--(Requests!$D$5:$AH$5="土日祝"),--(IFERROR(WORKDAY(Requests!$D$3:$AH$3,1,Holidays!$A$4:$A$60),0)=F$3))&gt;0,"振休("&amp;TEXT(INDEX(Requests!$D$3:$AH$3,1,MATCH(1,(Requests!$D10:$AH10="休")*(Requests!$D$5:$AH$5="土日祝")*(IFERROR(WORKDAY(Requests!$D$3:$AH$3,1,Holidays!$A$4:$A$60),0)=F$3),0)),"m/d")&amp;")",IF(AND(MOD(DAY(F$3)+3-1,5)+1&lt;=F$6,COUNTIF(D10:E10,"日勤")&lt;Settings!$B$7),"日勤",""))))</x:f>
        <x:v>日勤</x:v>
      </x:c>
      <x:c r="G10" s="25" t="str">
        <x:f>IF(G$3="","",IF(Requests!G10="休","休",IF(SUMPRODUCT(--(Requests!$D10:$AH10="休"),--(Requests!$D$5:$AH$5="土日祝"),--(IFERROR(WORKDAY(Requests!$D$3:$AH$3,1,Holidays!$A$4:$A$60),0)=G$3))&gt;0,"振休("&amp;TEXT(INDEX(Requests!$D$3:$AH$3,1,MATCH(1,(Requests!$D10:$AH10="休")*(Requests!$D$5:$AH$5="土日祝")*(IFERROR(WORKDAY(Requests!$D$3:$AH$3,1,Holidays!$A$4:$A$60),0)=G$3),0)),"m/d")&amp;")",IF(AND(MOD(DAY(G$3)+3-1,5)+1&lt;=G$6,COUNTIF(D10:F10,"日勤")&lt;Settings!$B$7),"日勤",""))))</x:f>
        <x:v>日勤</x:v>
      </x:c>
      <x:c r="H10" s="25" t="str">
        <x:f>IF(H$3="","",IF(Requests!H10="休","休",IF(SUMPRODUCT(--(Requests!$D10:$AH10="休"),--(Requests!$D$5:$AH$5="土日祝"),--(IFERROR(WORKDAY(Requests!$D$3:$AH$3,1,Holidays!$A$4:$A$60),0)=H$3))&gt;0,"振休("&amp;TEXT(INDEX(Requests!$D$3:$AH$3,1,MATCH(1,(Requests!$D10:$AH10="休")*(Requests!$D$5:$AH$5="土日祝")*(IFERROR(WORKDAY(Requests!$D$3:$AH$3,1,Holidays!$A$4:$A$60),0)=H$3),0)),"m/d")&amp;")",IF(AND(MOD(DAY(H$3)+3-1,5)+1&lt;=H$6,COUNTIF(D10:G10,"日勤")&lt;Settings!$B$7),"日勤",""))))</x:f>
      </x:c>
      <x:c r="I10" s="25" t="str">
        <x:f>IF(I$3="","",IF(Requests!I10="休","休",IF(SUMPRODUCT(--(Requests!$D10:$AH10="休"),--(Requests!$D$5:$AH$5="土日祝"),--(IFERROR(WORKDAY(Requests!$D$3:$AH$3,1,Holidays!$A$4:$A$60),0)=I$3))&gt;0,"振休("&amp;TEXT(INDEX(Requests!$D$3:$AH$3,1,MATCH(1,(Requests!$D10:$AH10="休")*(Requests!$D$5:$AH$5="土日祝")*(IFERROR(WORKDAY(Requests!$D$3:$AH$3,1,Holidays!$A$4:$A$60),0)=I$3),0)),"m/d")&amp;")",IF(AND(MOD(DAY(I$3)+3-1,5)+1&lt;=I$6,COUNTIF(E10:H10,"日勤")&lt;Settings!$B$7),"日勤",""))))</x:f>
      </x:c>
      <x:c r="J10" s="25" t="str">
        <x:f>IF(J$3="","",IF(Requests!J10="休","休",IF(SUMPRODUCT(--(Requests!$D10:$AH10="休"),--(Requests!$D$5:$AH$5="土日祝"),--(IFERROR(WORKDAY(Requests!$D$3:$AH$3,1,Holidays!$A$4:$A$60),0)=J$3))&gt;0,"振休("&amp;TEXT(INDEX(Requests!$D$3:$AH$3,1,MATCH(1,(Requests!$D10:$AH10="休")*(Requests!$D$5:$AH$5="土日祝")*(IFERROR(WORKDAY(Requests!$D$3:$AH$3,1,Holidays!$A$4:$A$60),0)=J$3),0)),"m/d")&amp;")",IF(AND(MOD(DAY(J$3)+3-1,5)+1&lt;=J$6,COUNTIF(F10:I10,"日勤")&lt;Settings!$B$7),"日勤",""))))</x:f>
      </x:c>
      <x:c r="K10" s="25" t="str">
        <x:f>IF(K$3="","",IF(Requests!K10="休","休",IF(SUMPRODUCT(--(Requests!$D10:$AH10="休"),--(Requests!$D$5:$AH$5="土日祝"),--(IFERROR(WORKDAY(Requests!$D$3:$AH$3,1,Holidays!$A$4:$A$60),0)=K$3))&gt;0,"振休("&amp;TEXT(INDEX(Requests!$D$3:$AH$3,1,MATCH(1,(Requests!$D10:$AH10="休")*(Requests!$D$5:$AH$5="土日祝")*(IFERROR(WORKDAY(Requests!$D$3:$AH$3,1,Holidays!$A$4:$A$60),0)=K$3),0)),"m/d")&amp;")",IF(AND(MOD(DAY(K$3)+3-1,5)+1&lt;=K$6,COUNTIF(G10:J10,"日勤")&lt;Settings!$B$7),"日勤",""))))</x:f>
        <x:v>日勤</x:v>
      </x:c>
      <x:c r="L10" s="25" t="str">
        <x:f>IF(L$3="","",IF(Requests!L10="休","休",IF(SUMPRODUCT(--(Requests!$D10:$AH10="休"),--(Requests!$D$5:$AH$5="土日祝"),--(IFERROR(WORKDAY(Requests!$D$3:$AH$3,1,Holidays!$A$4:$A$60),0)=L$3))&gt;0,"振休("&amp;TEXT(INDEX(Requests!$D$3:$AH$3,1,MATCH(1,(Requests!$D10:$AH10="休")*(Requests!$D$5:$AH$5="土日祝")*(IFERROR(WORKDAY(Requests!$D$3:$AH$3,1,Holidays!$A$4:$A$60),0)=L$3),0)),"m/d")&amp;")",IF(AND(MOD(DAY(L$3)+3-1,5)+1&lt;=L$6,COUNTIF(H10:K10,"日勤")&lt;Settings!$B$7),"日勤",""))))</x:f>
        <x:v>日勤</x:v>
      </x:c>
      <x:c r="M10" s="25" t="str">
        <x:f>IF(M$3="","",IF(Requests!M10="休","休",IF(SUMPRODUCT(--(Requests!$D10:$AH10="休"),--(Requests!$D$5:$AH$5="土日祝"),--(IFERROR(WORKDAY(Requests!$D$3:$AH$3,1,Holidays!$A$4:$A$60),0)=M$3))&gt;0,"振休("&amp;TEXT(INDEX(Requests!$D$3:$AH$3,1,MATCH(1,(Requests!$D10:$AH10="休")*(Requests!$D$5:$AH$5="土日祝")*(IFERROR(WORKDAY(Requests!$D$3:$AH$3,1,Holidays!$A$4:$A$60),0)=M$3),0)),"m/d")&amp;")",IF(AND(MOD(DAY(M$3)+3-1,5)+1&lt;=M$6,COUNTIF(I10:L10,"日勤")&lt;Settings!$B$7),"日勤",""))))</x:f>
      </x:c>
      <x:c r="N10" s="25" t="str">
        <x:f>IF(N$3="","",IF(Requests!N10="休","休",IF(SUMPRODUCT(--(Requests!$D10:$AH10="休"),--(Requests!$D$5:$AH$5="土日祝"),--(IFERROR(WORKDAY(Requests!$D$3:$AH$3,1,Holidays!$A$4:$A$60),0)=N$3))&gt;0,"振休("&amp;TEXT(INDEX(Requests!$D$3:$AH$3,1,MATCH(1,(Requests!$D10:$AH10="休")*(Requests!$D$5:$AH$5="土日祝")*(IFERROR(WORKDAY(Requests!$D$3:$AH$3,1,Holidays!$A$4:$A$60),0)=N$3),0)),"m/d")&amp;")",IF(AND(MOD(DAY(N$3)+3-1,5)+1&lt;=N$6,COUNTIF(J10:M10,"日勤")&lt;Settings!$B$7),"日勤",""))))</x:f>
      </x:c>
      <x:c r="O10" s="25" t="str">
        <x:f>IF(O$3="","",IF(Requests!O10="休","休",IF(SUMPRODUCT(--(Requests!$D10:$AH10="休"),--(Requests!$D$5:$AH$5="土日祝"),--(IFERROR(WORKDAY(Requests!$D$3:$AH$3,1,Holidays!$A$4:$A$60),0)=O$3))&gt;0,"振休("&amp;TEXT(INDEX(Requests!$D$3:$AH$3,1,MATCH(1,(Requests!$D10:$AH10="休")*(Requests!$D$5:$AH$5="土日祝")*(IFERROR(WORKDAY(Requests!$D$3:$AH$3,1,Holidays!$A$4:$A$60),0)=O$3),0)),"m/d")&amp;")",IF(AND(MOD(DAY(O$3)+3-1,5)+1&lt;=O$6,COUNTIF(K10:N10,"日勤")&lt;Settings!$B$7),"日勤",""))))</x:f>
      </x:c>
      <x:c r="P10" s="25" t="str">
        <x:f>IF(P$3="","",IF(Requests!P10="休","休",IF(SUMPRODUCT(--(Requests!$D10:$AH10="休"),--(Requests!$D$5:$AH$5="土日祝"),--(IFERROR(WORKDAY(Requests!$D$3:$AH$3,1,Holidays!$A$4:$A$60),0)=P$3))&gt;0,"振休("&amp;TEXT(INDEX(Requests!$D$3:$AH$3,1,MATCH(1,(Requests!$D10:$AH10="休")*(Requests!$D$5:$AH$5="土日祝")*(IFERROR(WORKDAY(Requests!$D$3:$AH$3,1,Holidays!$A$4:$A$60),0)=P$3),0)),"m/d")&amp;")",IF(AND(MOD(DAY(P$3)+3-1,5)+1&lt;=P$6,COUNTIF(L10:O10,"日勤")&lt;Settings!$B$7),"日勤",""))))</x:f>
        <x:v>日勤</x:v>
      </x:c>
      <x:c r="Q10" s="25" t="str">
        <x:f>IF(Q$3="","",IF(Requests!Q10="休","休",IF(SUMPRODUCT(--(Requests!$D10:$AH10="休"),--(Requests!$D$5:$AH$5="土日祝"),--(IFERROR(WORKDAY(Requests!$D$3:$AH$3,1,Holidays!$A$4:$A$60),0)=Q$3))&gt;0,"振休("&amp;TEXT(INDEX(Requests!$D$3:$AH$3,1,MATCH(1,(Requests!$D10:$AH10="休")*(Requests!$D$5:$AH$5="土日祝")*(IFERROR(WORKDAY(Requests!$D$3:$AH$3,1,Holidays!$A$4:$A$60),0)=Q$3),0)),"m/d")&amp;")",IF(AND(MOD(DAY(Q$3)+3-1,5)+1&lt;=Q$6,COUNTIF(M10:P10,"日勤")&lt;Settings!$B$7),"日勤",""))))</x:f>
        <x:v>日勤</x:v>
      </x:c>
      <x:c r="R10" s="25" t="str">
        <x:f>IF(R$3="","",IF(Requests!R10="休","休",IF(SUMPRODUCT(--(Requests!$D10:$AH10="休"),--(Requests!$D$5:$AH$5="土日祝"),--(IFERROR(WORKDAY(Requests!$D$3:$AH$3,1,Holidays!$A$4:$A$60),0)=R$3))&gt;0,"振休("&amp;TEXT(INDEX(Requests!$D$3:$AH$3,1,MATCH(1,(Requests!$D10:$AH10="休")*(Requests!$D$5:$AH$5="土日祝")*(IFERROR(WORKDAY(Requests!$D$3:$AH$3,1,Holidays!$A$4:$A$60),0)=R$3),0)),"m/d")&amp;")",IF(AND(MOD(DAY(R$3)+3-1,5)+1&lt;=R$6,COUNTIF(N10:Q10,"日勤")&lt;Settings!$B$7),"日勤",""))))</x:f>
      </x:c>
      <x:c r="S10" s="25" t="str">
        <x:f>IF(S$3="","",IF(Requests!S10="休","休",IF(SUMPRODUCT(--(Requests!$D10:$AH10="休"),--(Requests!$D$5:$AH$5="土日祝"),--(IFERROR(WORKDAY(Requests!$D$3:$AH$3,1,Holidays!$A$4:$A$60),0)=S$3))&gt;0,"振休("&amp;TEXT(INDEX(Requests!$D$3:$AH$3,1,MATCH(1,(Requests!$D10:$AH10="休")*(Requests!$D$5:$AH$5="土日祝")*(IFERROR(WORKDAY(Requests!$D$3:$AH$3,1,Holidays!$A$4:$A$60),0)=S$3),0)),"m/d")&amp;")",IF(AND(MOD(DAY(S$3)+3-1,5)+1&lt;=S$6,COUNTIF(O10:R10,"日勤")&lt;Settings!$B$7),"日勤",""))))</x:f>
      </x:c>
      <x:c r="T10" s="25" t="str">
        <x:f>IF(T$3="","",IF(Requests!T10="休","休",IF(SUMPRODUCT(--(Requests!$D10:$AH10="休"),--(Requests!$D$5:$AH$5="土日祝"),--(IFERROR(WORKDAY(Requests!$D$3:$AH$3,1,Holidays!$A$4:$A$60),0)=T$3))&gt;0,"振休("&amp;TEXT(INDEX(Requests!$D$3:$AH$3,1,MATCH(1,(Requests!$D10:$AH10="休")*(Requests!$D$5:$AH$5="土日祝")*(IFERROR(WORKDAY(Requests!$D$3:$AH$3,1,Holidays!$A$4:$A$60),0)=T$3),0)),"m/d")&amp;")",IF(AND(MOD(DAY(T$3)+3-1,5)+1&lt;=T$6,COUNTIF(P10:S10,"日勤")&lt;Settings!$B$7),"日勤",""))))</x:f>
      </x:c>
      <x:c r="U10" s="25" t="str">
        <x:f>IF(U$3="","",IF(Requests!U10="休","休",IF(SUMPRODUCT(--(Requests!$D10:$AH10="休"),--(Requests!$D$5:$AH$5="土日祝"),--(IFERROR(WORKDAY(Requests!$D$3:$AH$3,1,Holidays!$A$4:$A$60),0)=U$3))&gt;0,"振休("&amp;TEXT(INDEX(Requests!$D$3:$AH$3,1,MATCH(1,(Requests!$D10:$AH10="休")*(Requests!$D$5:$AH$5="土日祝")*(IFERROR(WORKDAY(Requests!$D$3:$AH$3,1,Holidays!$A$4:$A$60),0)=U$3),0)),"m/d")&amp;")",IF(AND(MOD(DAY(U$3)+3-1,5)+1&lt;=U$6,COUNTIF(Q10:T10,"日勤")&lt;Settings!$B$7),"日勤",""))))</x:f>
        <x:v>日勤</x:v>
      </x:c>
      <x:c r="V10" s="25" t="str">
        <x:f>IF(V$3="","",IF(Requests!V10="休","休",IF(SUMPRODUCT(--(Requests!$D10:$AH10="休"),--(Requests!$D$5:$AH$5="土日祝"),--(IFERROR(WORKDAY(Requests!$D$3:$AH$3,1,Holidays!$A$4:$A$60),0)=V$3))&gt;0,"振休("&amp;TEXT(INDEX(Requests!$D$3:$AH$3,1,MATCH(1,(Requests!$D10:$AH10="休")*(Requests!$D$5:$AH$5="土日祝")*(IFERROR(WORKDAY(Requests!$D$3:$AH$3,1,Holidays!$A$4:$A$60),0)=V$3),0)),"m/d")&amp;")",IF(AND(MOD(DAY(V$3)+3-1,5)+1&lt;=V$6,COUNTIF(R10:U10,"日勤")&lt;Settings!$B$7),"日勤",""))))</x:f>
        <x:v>日勤</x:v>
      </x:c>
      <x:c r="W10" s="25" t="str">
        <x:f>IF(W$3="","",IF(Requests!W10="休","休",IF(SUMPRODUCT(--(Requests!$D10:$AH10="休"),--(Requests!$D$5:$AH$5="土日祝"),--(IFERROR(WORKDAY(Requests!$D$3:$AH$3,1,Holidays!$A$4:$A$60),0)=W$3))&gt;0,"振休("&amp;TEXT(INDEX(Requests!$D$3:$AH$3,1,MATCH(1,(Requests!$D10:$AH10="休")*(Requests!$D$5:$AH$5="土日祝")*(IFERROR(WORKDAY(Requests!$D$3:$AH$3,1,Holidays!$A$4:$A$60),0)=W$3),0)),"m/d")&amp;")",IF(AND(MOD(DAY(W$3)+3-1,5)+1&lt;=W$6,COUNTIF(S10:V10,"日勤")&lt;Settings!$B$7),"日勤",""))))</x:f>
        <x:v>日勤</x:v>
      </x:c>
      <x:c r="X10" s="25" t="str">
        <x:f>IF(X$3="","",IF(Requests!X10="休","休",IF(SUMPRODUCT(--(Requests!$D10:$AH10="休"),--(Requests!$D$5:$AH$5="土日祝"),--(IFERROR(WORKDAY(Requests!$D$3:$AH$3,1,Holidays!$A$4:$A$60),0)=X$3))&gt;0,"振休("&amp;TEXT(INDEX(Requests!$D$3:$AH$3,1,MATCH(1,(Requests!$D10:$AH10="休")*(Requests!$D$5:$AH$5="土日祝")*(IFERROR(WORKDAY(Requests!$D$3:$AH$3,1,Holidays!$A$4:$A$60),0)=X$3),0)),"m/d")&amp;")",IF(AND(MOD(DAY(X$3)+3-1,5)+1&lt;=X$6,COUNTIF(T10:W10,"日勤")&lt;Settings!$B$7),"日勤",""))))</x:f>
      </x:c>
      <x:c r="Y10" s="25" t="str">
        <x:f>IF(Y$3="","",IF(Requests!Y10="休","休",IF(SUMPRODUCT(--(Requests!$D10:$AH10="休"),--(Requests!$D$5:$AH$5="土日祝"),--(IFERROR(WORKDAY(Requests!$D$3:$AH$3,1,Holidays!$A$4:$A$60),0)=Y$3))&gt;0,"振休("&amp;TEXT(INDEX(Requests!$D$3:$AH$3,1,MATCH(1,(Requests!$D10:$AH10="休")*(Requests!$D$5:$AH$5="土日祝")*(IFERROR(WORKDAY(Requests!$D$3:$AH$3,1,Holidays!$A$4:$A$60),0)=Y$3),0)),"m/d")&amp;")",IF(AND(MOD(DAY(Y$3)+3-1,5)+1&lt;=Y$6,COUNTIF(U10:X10,"日勤")&lt;Settings!$B$7),"日勤",""))))</x:f>
      </x:c>
      <x:c r="Z10" s="25" t="str">
        <x:f>IF(Z$3="","",IF(Requests!Z10="休","休",IF(SUMPRODUCT(--(Requests!$D10:$AH10="休"),--(Requests!$D$5:$AH$5="土日祝"),--(IFERROR(WORKDAY(Requests!$D$3:$AH$3,1,Holidays!$A$4:$A$60),0)=Z$3))&gt;0,"振休("&amp;TEXT(INDEX(Requests!$D$3:$AH$3,1,MATCH(1,(Requests!$D10:$AH10="休")*(Requests!$D$5:$AH$5="土日祝")*(IFERROR(WORKDAY(Requests!$D$3:$AH$3,1,Holidays!$A$4:$A$60),0)=Z$3),0)),"m/d")&amp;")",IF(AND(MOD(DAY(Z$3)+3-1,5)+1&lt;=Z$6,COUNTIF(V10:Y10,"日勤")&lt;Settings!$B$7),"日勤",""))))</x:f>
        <x:v>日勤</x:v>
      </x:c>
      <x:c r="AA10" s="25" t="str">
        <x:f>IF(AA$3="","",IF(Requests!AA10="休","休",IF(SUMPRODUCT(--(Requests!$D10:$AH10="休"),--(Requests!$D$5:$AH$5="土日祝"),--(IFERROR(WORKDAY(Requests!$D$3:$AH$3,1,Holidays!$A$4:$A$60),0)=AA$3))&gt;0,"振休("&amp;TEXT(INDEX(Requests!$D$3:$AH$3,1,MATCH(1,(Requests!$D10:$AH10="休")*(Requests!$D$5:$AH$5="土日祝")*(IFERROR(WORKDAY(Requests!$D$3:$AH$3,1,Holidays!$A$4:$A$60),0)=AA$3),0)),"m/d")&amp;")",IF(AND(MOD(DAY(AA$3)+3-1,5)+1&lt;=AA$6,COUNTIF(W10:Z10,"日勤")&lt;Settings!$B$7),"日勤",""))))</x:f>
        <x:v>日勤</x:v>
      </x:c>
      <x:c r="AB10" s="25" t="str">
        <x:f>IF(AB$3="","",IF(Requests!AB10="休","休",IF(SUMPRODUCT(--(Requests!$D10:$AH10="休"),--(Requests!$D$5:$AH$5="土日祝"),--(IFERROR(WORKDAY(Requests!$D$3:$AH$3,1,Holidays!$A$4:$A$60),0)=AB$3))&gt;0,"振休("&amp;TEXT(INDEX(Requests!$D$3:$AH$3,1,MATCH(1,(Requests!$D10:$AH10="休")*(Requests!$D$5:$AH$5="土日祝")*(IFERROR(WORKDAY(Requests!$D$3:$AH$3,1,Holidays!$A$4:$A$60),0)=AB$3),0)),"m/d")&amp;")",IF(AND(MOD(DAY(AB$3)+3-1,5)+1&lt;=AB$6,COUNTIF(X10:AA10,"日勤")&lt;Settings!$B$7),"日勤",""))))</x:f>
      </x:c>
      <x:c r="AC10" s="25" t="str">
        <x:f>IF(AC$3="","",IF(Requests!AC10="休","休",IF(SUMPRODUCT(--(Requests!$D10:$AH10="休"),--(Requests!$D$5:$AH$5="土日祝"),--(IFERROR(WORKDAY(Requests!$D$3:$AH$3,1,Holidays!$A$4:$A$60),0)=AC$3))&gt;0,"振休("&amp;TEXT(INDEX(Requests!$D$3:$AH$3,1,MATCH(1,(Requests!$D10:$AH10="休")*(Requests!$D$5:$AH$5="土日祝")*(IFERROR(WORKDAY(Requests!$D$3:$AH$3,1,Holidays!$A$4:$A$60),0)=AC$3),0)),"m/d")&amp;")",IF(AND(MOD(DAY(AC$3)+3-1,5)+1&lt;=AC$6,COUNTIF(Y10:AB10,"日勤")&lt;Settings!$B$7),"日勤",""))))</x:f>
      </x:c>
      <x:c r="AD10" s="25" t="str">
        <x:f>IF(AD$3="","",IF(Requests!AD10="休","休",IF(SUMPRODUCT(--(Requests!$D10:$AH10="休"),--(Requests!$D$5:$AH$5="土日祝"),--(IFERROR(WORKDAY(Requests!$D$3:$AH$3,1,Holidays!$A$4:$A$60),0)=AD$3))&gt;0,"振休("&amp;TEXT(INDEX(Requests!$D$3:$AH$3,1,MATCH(1,(Requests!$D10:$AH10="休")*(Requests!$D$5:$AH$5="土日祝")*(IFERROR(WORKDAY(Requests!$D$3:$AH$3,1,Holidays!$A$4:$A$60),0)=AD$3),0)),"m/d")&amp;")",IF(AND(MOD(DAY(AD$3)+3-1,5)+1&lt;=AD$6,COUNTIF(Z10:AC10,"日勤")&lt;Settings!$B$7),"日勤",""))))</x:f>
      </x:c>
      <x:c r="AE10" s="25" t="str">
        <x:f>IF(AE$3="","",IF(Requests!AE10="休","休",IF(SUMPRODUCT(--(Requests!$D10:$AH10="休"),--(Requests!$D$5:$AH$5="土日祝"),--(IFERROR(WORKDAY(Requests!$D$3:$AH$3,1,Holidays!$A$4:$A$60),0)=AE$3))&gt;0,"振休("&amp;TEXT(INDEX(Requests!$D$3:$AH$3,1,MATCH(1,(Requests!$D10:$AH10="休")*(Requests!$D$5:$AH$5="土日祝")*(IFERROR(WORKDAY(Requests!$D$3:$AH$3,1,Holidays!$A$4:$A$60),0)=AE$3),0)),"m/d")&amp;")",IF(AND(MOD(DAY(AE$3)+3-1,5)+1&lt;=AE$6,COUNTIF(AA10:AD10,"日勤")&lt;Settings!$B$7),"日勤",""))))</x:f>
        <x:v>日勤</x:v>
      </x:c>
      <x:c r="AF10" s="25" t="str">
        <x:f>IF(AF$3="","",IF(Requests!AF10="休","休",IF(SUMPRODUCT(--(Requests!$D10:$AH10="休"),--(Requests!$D$5:$AH$5="土日祝"),--(IFERROR(WORKDAY(Requests!$D$3:$AH$3,1,Holidays!$A$4:$A$60),0)=AF$3))&gt;0,"振休("&amp;TEXT(INDEX(Requests!$D$3:$AH$3,1,MATCH(1,(Requests!$D10:$AH10="休")*(Requests!$D$5:$AH$5="土日祝")*(IFERROR(WORKDAY(Requests!$D$3:$AH$3,1,Holidays!$A$4:$A$60),0)=AF$3),0)),"m/d")&amp;")",IF(AND(MOD(DAY(AF$3)+3-1,5)+1&lt;=AF$6,COUNTIF(AB10:AE10,"日勤")&lt;Settings!$B$7),"日勤",""))))</x:f>
        <x:v>日勤</x:v>
      </x:c>
      <x:c r="AG10" s="25" t="str">
        <x:f>IF(AG$3="","",IF(Requests!AG10="休","休",IF(SUMPRODUCT(--(Requests!$D10:$AH10="休"),--(Requests!$D$5:$AH$5="土日祝"),--(IFERROR(WORKDAY(Requests!$D$3:$AH$3,1,Holidays!$A$4:$A$60),0)=AG$3))&gt;0,"振休("&amp;TEXT(INDEX(Requests!$D$3:$AH$3,1,MATCH(1,(Requests!$D10:$AH10="休")*(Requests!$D$5:$AH$5="土日祝")*(IFERROR(WORKDAY(Requests!$D$3:$AH$3,1,Holidays!$A$4:$A$60),0)=AG$3),0)),"m/d")&amp;")",IF(AND(MOD(DAY(AG$3)+3-1,5)+1&lt;=AG$6,COUNTIF(AC10:AF10,"日勤")&lt;Settings!$B$7),"日勤",""))))</x:f>
      </x:c>
      <x:c r="AH10" s="25" t="str">
        <x:f>IF(AH$3="","",IF(Requests!AH10="休","休",IF(SUMPRODUCT(--(Requests!$D10:$AH10="休"),--(Requests!$D$5:$AH$5="土日祝"),--(IFERROR(WORKDAY(Requests!$D$3:$AH$3,1,Holidays!$A$4:$A$60),0)=AH$3))&gt;0,"振休("&amp;TEXT(INDEX(Requests!$D$3:$AH$3,1,MATCH(1,(Requests!$D10:$AH10="休")*(Requests!$D$5:$AH$5="土日祝")*(IFERROR(WORKDAY(Requests!$D$3:$AH$3,1,Holidays!$A$4:$A$60),0)=AH$3),0)),"m/d")&amp;")",IF(AND(MOD(DAY(AH$3)+3-1,5)+1&lt;=AH$6,COUNTIF(AD10:AG10,"日勤")&lt;Settings!$B$7),"日勤",""))))</x:f>
      </x:c>
    </x:row>
    <x:row r="11">
      <x:c r="A11" s="9" t="str">
        <x:f>Settings!B14</x:f>
        <x:v>スタッフE</x:v>
      </x:c>
      <x:c r="B11" s="9" t="n">
        <x:f>COUNTIF(D11:AH11,"日勤")</x:f>
        <x:v>13</x:v>
      </x:c>
      <x:c r="C11" s="9" t="n">
        <x:f>SUMPRODUCT(--(D11:AH11="日勤"),--($D$5:$AH$5="土日祝"))</x:f>
        <x:v>5</x:v>
      </x:c>
      <x:c r="D11" s="25" t="str">
        <x:f>IF(D$3="","",IF(Requests!D11="休","休",IF(SUMPRODUCT(--(Requests!$D11:$AH11="休"),--(Requests!$D$5:$AH$5="土日祝"),--(IFERROR(WORKDAY(Requests!$D$3:$AH$3,1,Holidays!$A$4:$A$60),0)=D$3))&gt;0,"振休("&amp;TEXT(INDEX(Requests!$D$3:$AH$3,1,MATCH(1,(Requests!$D11:$AH11="休")*(Requests!$D$5:$AH$5="土日祝")*(IFERROR(WORKDAY(Requests!$D$3:$AH$3,1,Holidays!$A$4:$A$60),0)=D$3),0)),"m/d")&amp;")",IF(AND(MOD(DAY(D$3)+4-1,5)+1&lt;=D$6,0&lt;Settings!$B$7),"日勤",""))))</x:f>
      </x:c>
      <x:c r="E11" s="25" t="str">
        <x:f>IF(E$3="","",IF(Requests!E11="休","休",IF(SUMPRODUCT(--(Requests!$D11:$AH11="休"),--(Requests!$D$5:$AH$5="土日祝"),--(IFERROR(WORKDAY(Requests!$D$3:$AH$3,1,Holidays!$A$4:$A$60),0)=E$3))&gt;0,"振休("&amp;TEXT(INDEX(Requests!$D$3:$AH$3,1,MATCH(1,(Requests!$D11:$AH11="休")*(Requests!$D$5:$AH$5="土日祝")*(IFERROR(WORKDAY(Requests!$D$3:$AH$3,1,Holidays!$A$4:$A$60),0)=E$3),0)),"m/d")&amp;")",IF(AND(MOD(DAY(E$3)+4-1,5)+1&lt;=E$6,COUNTIF(D11:D11,"日勤")&lt;Settings!$B$7),"日勤",""))))</x:f>
        <x:v>日勤</x:v>
      </x:c>
      <x:c r="F11" s="25" t="str">
        <x:f>IF(F$3="","",IF(Requests!F11="休","休",IF(SUMPRODUCT(--(Requests!$D11:$AH11="休"),--(Requests!$D$5:$AH$5="土日祝"),--(IFERROR(WORKDAY(Requests!$D$3:$AH$3,1,Holidays!$A$4:$A$60),0)=F$3))&gt;0,"振休("&amp;TEXT(INDEX(Requests!$D$3:$AH$3,1,MATCH(1,(Requests!$D11:$AH11="休")*(Requests!$D$5:$AH$5="土日祝")*(IFERROR(WORKDAY(Requests!$D$3:$AH$3,1,Holidays!$A$4:$A$60),0)=F$3),0)),"m/d")&amp;")",IF(AND(MOD(DAY(F$3)+4-1,5)+1&lt;=F$6,COUNTIF(D11:E11,"日勤")&lt;Settings!$B$7),"日勤",""))))</x:f>
        <x:v>日勤</x:v>
      </x:c>
      <x:c r="G11" s="25" t="str">
        <x:f>IF(G$3="","",IF(Requests!G11="休","休",IF(SUMPRODUCT(--(Requests!$D11:$AH11="休"),--(Requests!$D$5:$AH$5="土日祝"),--(IFERROR(WORKDAY(Requests!$D$3:$AH$3,1,Holidays!$A$4:$A$60),0)=G$3))&gt;0,"振休("&amp;TEXT(INDEX(Requests!$D$3:$AH$3,1,MATCH(1,(Requests!$D11:$AH11="休")*(Requests!$D$5:$AH$5="土日祝")*(IFERROR(WORKDAY(Requests!$D$3:$AH$3,1,Holidays!$A$4:$A$60),0)=G$3),0)),"m/d")&amp;")",IF(AND(MOD(DAY(G$3)+4-1,5)+1&lt;=G$6,COUNTIF(D11:F11,"日勤")&lt;Settings!$B$7),"日勤",""))))</x:f>
      </x:c>
      <x:c r="H11" s="25" t="str">
        <x:f>IF(H$3="","",IF(Requests!H11="休","休",IF(SUMPRODUCT(--(Requests!$D11:$AH11="休"),--(Requests!$D$5:$AH$5="土日祝"),--(IFERROR(WORKDAY(Requests!$D$3:$AH$3,1,Holidays!$A$4:$A$60),0)=H$3))&gt;0,"振休("&amp;TEXT(INDEX(Requests!$D$3:$AH$3,1,MATCH(1,(Requests!$D11:$AH11="休")*(Requests!$D$5:$AH$5="土日祝")*(IFERROR(WORKDAY(Requests!$D$3:$AH$3,1,Holidays!$A$4:$A$60),0)=H$3),0)),"m/d")&amp;")",IF(AND(MOD(DAY(H$3)+4-1,5)+1&lt;=H$6,COUNTIF(D11:G11,"日勤")&lt;Settings!$B$7),"日勤",""))))</x:f>
      </x:c>
      <x:c r="I11" s="25" t="str">
        <x:f>IF(I$3="","",IF(Requests!I11="休","休",IF(SUMPRODUCT(--(Requests!$D11:$AH11="休"),--(Requests!$D$5:$AH$5="土日祝"),--(IFERROR(WORKDAY(Requests!$D$3:$AH$3,1,Holidays!$A$4:$A$60),0)=I$3))&gt;0,"振休("&amp;TEXT(INDEX(Requests!$D$3:$AH$3,1,MATCH(1,(Requests!$D11:$AH11="休")*(Requests!$D$5:$AH$5="土日祝")*(IFERROR(WORKDAY(Requests!$D$3:$AH$3,1,Holidays!$A$4:$A$60),0)=I$3),0)),"m/d")&amp;")",IF(AND(MOD(DAY(I$3)+4-1,5)+1&lt;=I$6,COUNTIF(E11:H11,"日勤")&lt;Settings!$B$7),"日勤",""))))</x:f>
      </x:c>
      <x:c r="J11" s="25" t="str">
        <x:f>IF(J$3="","",IF(Requests!J11="休","休",IF(SUMPRODUCT(--(Requests!$D11:$AH11="休"),--(Requests!$D$5:$AH$5="土日祝"),--(IFERROR(WORKDAY(Requests!$D$3:$AH$3,1,Holidays!$A$4:$A$60),0)=J$3))&gt;0,"振休("&amp;TEXT(INDEX(Requests!$D$3:$AH$3,1,MATCH(1,(Requests!$D11:$AH11="休")*(Requests!$D$5:$AH$5="土日祝")*(IFERROR(WORKDAY(Requests!$D$3:$AH$3,1,Holidays!$A$4:$A$60),0)=J$3),0)),"m/d")&amp;")",IF(AND(MOD(DAY(J$3)+4-1,5)+1&lt;=J$6,COUNTIF(F11:I11,"日勤")&lt;Settings!$B$7),"日勤",""))))</x:f>
        <x:v>日勤</x:v>
      </x:c>
      <x:c r="K11" s="25" t="str">
        <x:f>IF(K$3="","",IF(Requests!K11="休","休",IF(SUMPRODUCT(--(Requests!$D11:$AH11="休"),--(Requests!$D$5:$AH$5="土日祝"),--(IFERROR(WORKDAY(Requests!$D$3:$AH$3,1,Holidays!$A$4:$A$60),0)=K$3))&gt;0,"振休("&amp;TEXT(INDEX(Requests!$D$3:$AH$3,1,MATCH(1,(Requests!$D11:$AH11="休")*(Requests!$D$5:$AH$5="土日祝")*(IFERROR(WORKDAY(Requests!$D$3:$AH$3,1,Holidays!$A$4:$A$60),0)=K$3),0)),"m/d")&amp;")",IF(AND(MOD(DAY(K$3)+4-1,5)+1&lt;=K$6,COUNTIF(G11:J11,"日勤")&lt;Settings!$B$7),"日勤",""))))</x:f>
        <x:v>日勤</x:v>
      </x:c>
      <x:c r="L11" s="25" t="str">
        <x:f>IF(L$3="","",IF(Requests!L11="休","休",IF(SUMPRODUCT(--(Requests!$D11:$AH11="休"),--(Requests!$D$5:$AH$5="土日祝"),--(IFERROR(WORKDAY(Requests!$D$3:$AH$3,1,Holidays!$A$4:$A$60),0)=L$3))&gt;0,"振休("&amp;TEXT(INDEX(Requests!$D$3:$AH$3,1,MATCH(1,(Requests!$D11:$AH11="休")*(Requests!$D$5:$AH$5="土日祝")*(IFERROR(WORKDAY(Requests!$D$3:$AH$3,1,Holidays!$A$4:$A$60),0)=L$3),0)),"m/d")&amp;")",IF(AND(MOD(DAY(L$3)+4-1,5)+1&lt;=L$6,COUNTIF(H11:K11,"日勤")&lt;Settings!$B$7),"日勤",""))))</x:f>
      </x:c>
      <x:c r="M11" s="25" t="str">
        <x:f>IF(M$3="","",IF(Requests!M11="休","休",IF(SUMPRODUCT(--(Requests!$D11:$AH11="休"),--(Requests!$D$5:$AH$5="土日祝"),--(IFERROR(WORKDAY(Requests!$D$3:$AH$3,1,Holidays!$A$4:$A$60),0)=M$3))&gt;0,"振休("&amp;TEXT(INDEX(Requests!$D$3:$AH$3,1,MATCH(1,(Requests!$D11:$AH11="休")*(Requests!$D$5:$AH$5="土日祝")*(IFERROR(WORKDAY(Requests!$D$3:$AH$3,1,Holidays!$A$4:$A$60),0)=M$3),0)),"m/d")&amp;")",IF(AND(MOD(DAY(M$3)+4-1,5)+1&lt;=M$6,COUNTIF(I11:L11,"日勤")&lt;Settings!$B$7),"日勤",""))))</x:f>
      </x:c>
      <x:c r="N11" s="25" t="str">
        <x:f>IF(N$3="","",IF(Requests!N11="休","休",IF(SUMPRODUCT(--(Requests!$D11:$AH11="休"),--(Requests!$D$5:$AH$5="土日祝"),--(IFERROR(WORKDAY(Requests!$D$3:$AH$3,1,Holidays!$A$4:$A$60),0)=N$3))&gt;0,"振休("&amp;TEXT(INDEX(Requests!$D$3:$AH$3,1,MATCH(1,(Requests!$D11:$AH11="休")*(Requests!$D$5:$AH$5="土日祝")*(IFERROR(WORKDAY(Requests!$D$3:$AH$3,1,Holidays!$A$4:$A$60),0)=N$3),0)),"m/d")&amp;")",IF(AND(MOD(DAY(N$3)+4-1,5)+1&lt;=N$6,COUNTIF(J11:M11,"日勤")&lt;Settings!$B$7),"日勤",""))))</x:f>
      </x:c>
      <x:c r="O11" s="25" t="str">
        <x:f>IF(O$3="","",IF(Requests!O11="休","休",IF(SUMPRODUCT(--(Requests!$D11:$AH11="休"),--(Requests!$D$5:$AH$5="土日祝"),--(IFERROR(WORKDAY(Requests!$D$3:$AH$3,1,Holidays!$A$4:$A$60),0)=O$3))&gt;0,"振休("&amp;TEXT(INDEX(Requests!$D$3:$AH$3,1,MATCH(1,(Requests!$D11:$AH11="休")*(Requests!$D$5:$AH$5="土日祝")*(IFERROR(WORKDAY(Requests!$D$3:$AH$3,1,Holidays!$A$4:$A$60),0)=O$3),0)),"m/d")&amp;")",IF(AND(MOD(DAY(O$3)+4-1,5)+1&lt;=O$6,COUNTIF(K11:N11,"日勤")&lt;Settings!$B$7),"日勤",""))))</x:f>
        <x:v>日勤</x:v>
      </x:c>
      <x:c r="P11" s="25" t="str">
        <x:f>IF(P$3="","",IF(Requests!P11="休","休",IF(SUMPRODUCT(--(Requests!$D11:$AH11="休"),--(Requests!$D$5:$AH$5="土日祝"),--(IFERROR(WORKDAY(Requests!$D$3:$AH$3,1,Holidays!$A$4:$A$60),0)=P$3))&gt;0,"振休("&amp;TEXT(INDEX(Requests!$D$3:$AH$3,1,MATCH(1,(Requests!$D11:$AH11="休")*(Requests!$D$5:$AH$5="土日祝")*(IFERROR(WORKDAY(Requests!$D$3:$AH$3,1,Holidays!$A$4:$A$60),0)=P$3),0)),"m/d")&amp;")",IF(AND(MOD(DAY(P$3)+4-1,5)+1&lt;=P$6,COUNTIF(L11:O11,"日勤")&lt;Settings!$B$7),"日勤",""))))</x:f>
        <x:v>日勤</x:v>
      </x:c>
      <x:c r="Q11" s="25" t="str">
        <x:f>IF(Q$3="","",IF(Requests!Q11="休","休",IF(SUMPRODUCT(--(Requests!$D11:$AH11="休"),--(Requests!$D$5:$AH$5="土日祝"),--(IFERROR(WORKDAY(Requests!$D$3:$AH$3,1,Holidays!$A$4:$A$60),0)=Q$3))&gt;0,"振休("&amp;TEXT(INDEX(Requests!$D$3:$AH$3,1,MATCH(1,(Requests!$D11:$AH11="休")*(Requests!$D$5:$AH$5="土日祝")*(IFERROR(WORKDAY(Requests!$D$3:$AH$3,1,Holidays!$A$4:$A$60),0)=Q$3),0)),"m/d")&amp;")",IF(AND(MOD(DAY(Q$3)+4-1,5)+1&lt;=Q$6,COUNTIF(M11:P11,"日勤")&lt;Settings!$B$7),"日勤",""))))</x:f>
        <x:v>日勤</x:v>
      </x:c>
      <x:c r="R11" s="25" t="str">
        <x:f>IF(R$3="","",IF(Requests!R11="休","休",IF(SUMPRODUCT(--(Requests!$D11:$AH11="休"),--(Requests!$D$5:$AH$5="土日祝"),--(IFERROR(WORKDAY(Requests!$D$3:$AH$3,1,Holidays!$A$4:$A$60),0)=R$3))&gt;0,"振休("&amp;TEXT(INDEX(Requests!$D$3:$AH$3,1,MATCH(1,(Requests!$D11:$AH11="休")*(Requests!$D$5:$AH$5="土日祝")*(IFERROR(WORKDAY(Requests!$D$3:$AH$3,1,Holidays!$A$4:$A$60),0)=R$3),0)),"m/d")&amp;")",IF(AND(MOD(DAY(R$3)+4-1,5)+1&lt;=R$6,COUNTIF(N11:Q11,"日勤")&lt;Settings!$B$7),"日勤",""))))</x:f>
      </x:c>
      <x:c r="S11" s="25" t="str">
        <x:f>IF(S$3="","",IF(Requests!S11="休","休",IF(SUMPRODUCT(--(Requests!$D11:$AH11="休"),--(Requests!$D$5:$AH$5="土日祝"),--(IFERROR(WORKDAY(Requests!$D$3:$AH$3,1,Holidays!$A$4:$A$60),0)=S$3))&gt;0,"振休("&amp;TEXT(INDEX(Requests!$D$3:$AH$3,1,MATCH(1,(Requests!$D11:$AH11="休")*(Requests!$D$5:$AH$5="土日祝")*(IFERROR(WORKDAY(Requests!$D$3:$AH$3,1,Holidays!$A$4:$A$60),0)=S$3),0)),"m/d")&amp;")",IF(AND(MOD(DAY(S$3)+4-1,5)+1&lt;=S$6,COUNTIF(O11:R11,"日勤")&lt;Settings!$B$7),"日勤",""))))</x:f>
      </x:c>
      <x:c r="T11" s="25" t="str">
        <x:f>IF(T$3="","",IF(Requests!T11="休","休",IF(SUMPRODUCT(--(Requests!$D11:$AH11="休"),--(Requests!$D$5:$AH$5="土日祝"),--(IFERROR(WORKDAY(Requests!$D$3:$AH$3,1,Holidays!$A$4:$A$60),0)=T$3))&gt;0,"振休("&amp;TEXT(INDEX(Requests!$D$3:$AH$3,1,MATCH(1,(Requests!$D11:$AH11="休")*(Requests!$D$5:$AH$5="土日祝")*(IFERROR(WORKDAY(Requests!$D$3:$AH$3,1,Holidays!$A$4:$A$60),0)=T$3),0)),"m/d")&amp;")",IF(AND(MOD(DAY(T$3)+4-1,5)+1&lt;=T$6,COUNTIF(P11:S11,"日勤")&lt;Settings!$B$7),"日勤",""))))</x:f>
        <x:v>日勤</x:v>
      </x:c>
      <x:c r="U11" s="25" t="str">
        <x:f>IF(U$3="","",IF(Requests!U11="休","休",IF(SUMPRODUCT(--(Requests!$D11:$AH11="休"),--(Requests!$D$5:$AH$5="土日祝"),--(IFERROR(WORKDAY(Requests!$D$3:$AH$3,1,Holidays!$A$4:$A$60),0)=U$3))&gt;0,"振休("&amp;TEXT(INDEX(Requests!$D$3:$AH$3,1,MATCH(1,(Requests!$D11:$AH11="休")*(Requests!$D$5:$AH$5="土日祝")*(IFERROR(WORKDAY(Requests!$D$3:$AH$3,1,Holidays!$A$4:$A$60),0)=U$3),0)),"m/d")&amp;")",IF(AND(MOD(DAY(U$3)+4-1,5)+1&lt;=U$6,COUNTIF(Q11:T11,"日勤")&lt;Settings!$B$7),"日勤",""))))</x:f>
        <x:v>日勤</x:v>
      </x:c>
      <x:c r="V11" s="25" t="str">
        <x:f>IF(V$3="","",IF(Requests!V11="休","休",IF(SUMPRODUCT(--(Requests!$D11:$AH11="休"),--(Requests!$D$5:$AH$5="土日祝"),--(IFERROR(WORKDAY(Requests!$D$3:$AH$3,1,Holidays!$A$4:$A$60),0)=V$3))&gt;0,"振休("&amp;TEXT(INDEX(Requests!$D$3:$AH$3,1,MATCH(1,(Requests!$D11:$AH11="休")*(Requests!$D$5:$AH$5="土日祝")*(IFERROR(WORKDAY(Requests!$D$3:$AH$3,1,Holidays!$A$4:$A$60),0)=V$3),0)),"m/d")&amp;")",IF(AND(MOD(DAY(V$3)+4-1,5)+1&lt;=V$6,COUNTIF(R11:U11,"日勤")&lt;Settings!$B$7),"日勤",""))))</x:f>
      </x:c>
      <x:c r="W11" s="25" t="str">
        <x:f>IF(W$3="","",IF(Requests!W11="休","休",IF(SUMPRODUCT(--(Requests!$D11:$AH11="休"),--(Requests!$D$5:$AH$5="土日祝"),--(IFERROR(WORKDAY(Requests!$D$3:$AH$3,1,Holidays!$A$4:$A$60),0)=W$3))&gt;0,"振休("&amp;TEXT(INDEX(Requests!$D$3:$AH$3,1,MATCH(1,(Requests!$D11:$AH11="休")*(Requests!$D$5:$AH$5="土日祝")*(IFERROR(WORKDAY(Requests!$D$3:$AH$3,1,Holidays!$A$4:$A$60),0)=W$3),0)),"m/d")&amp;")",IF(AND(MOD(DAY(W$3)+4-1,5)+1&lt;=W$6,COUNTIF(S11:V11,"日勤")&lt;Settings!$B$7),"日勤",""))))</x:f>
      </x:c>
      <x:c r="X11" s="25" t="str">
        <x:f>IF(X$3="","",IF(Requests!X11="休","休",IF(SUMPRODUCT(--(Requests!$D11:$AH11="休"),--(Requests!$D$5:$AH$5="土日祝"),--(IFERROR(WORKDAY(Requests!$D$3:$AH$3,1,Holidays!$A$4:$A$60),0)=X$3))&gt;0,"振休("&amp;TEXT(INDEX(Requests!$D$3:$AH$3,1,MATCH(1,(Requests!$D11:$AH11="休")*(Requests!$D$5:$AH$5="土日祝")*(IFERROR(WORKDAY(Requests!$D$3:$AH$3,1,Holidays!$A$4:$A$60),0)=X$3),0)),"m/d")&amp;")",IF(AND(MOD(DAY(X$3)+4-1,5)+1&lt;=X$6,COUNTIF(T11:W11,"日勤")&lt;Settings!$B$7),"日勤",""))))</x:f>
      </x:c>
      <x:c r="Y11" s="25" t="str">
        <x:f>IF(Y$3="","",IF(Requests!Y11="休","休",IF(SUMPRODUCT(--(Requests!$D11:$AH11="休"),--(Requests!$D$5:$AH$5="土日祝"),--(IFERROR(WORKDAY(Requests!$D$3:$AH$3,1,Holidays!$A$4:$A$60),0)=Y$3))&gt;0,"振休("&amp;TEXT(INDEX(Requests!$D$3:$AH$3,1,MATCH(1,(Requests!$D11:$AH11="休")*(Requests!$D$5:$AH$5="土日祝")*(IFERROR(WORKDAY(Requests!$D$3:$AH$3,1,Holidays!$A$4:$A$60),0)=Y$3),0)),"m/d")&amp;")",IF(AND(MOD(DAY(Y$3)+4-1,5)+1&lt;=Y$6,COUNTIF(U11:X11,"日勤")&lt;Settings!$B$7),"日勤",""))))</x:f>
        <x:v>日勤</x:v>
      </x:c>
      <x:c r="Z11" s="25" t="str">
        <x:f>IF(Z$3="","",IF(Requests!Z11="休","休",IF(SUMPRODUCT(--(Requests!$D11:$AH11="休"),--(Requests!$D$5:$AH$5="土日祝"),--(IFERROR(WORKDAY(Requests!$D$3:$AH$3,1,Holidays!$A$4:$A$60),0)=Z$3))&gt;0,"振休("&amp;TEXT(INDEX(Requests!$D$3:$AH$3,1,MATCH(1,(Requests!$D11:$AH11="休")*(Requests!$D$5:$AH$5="土日祝")*(IFERROR(WORKDAY(Requests!$D$3:$AH$3,1,Holidays!$A$4:$A$60),0)=Z$3),0)),"m/d")&amp;")",IF(AND(MOD(DAY(Z$3)+4-1,5)+1&lt;=Z$6,COUNTIF(V11:Y11,"日勤")&lt;Settings!$B$7),"日勤",""))))</x:f>
        <x:v>日勤</x:v>
      </x:c>
      <x:c r="AA11" s="25" t="str">
        <x:f>IF(AA$3="","",IF(Requests!AA11="休","休",IF(SUMPRODUCT(--(Requests!$D11:$AH11="休"),--(Requests!$D$5:$AH$5="土日祝"),--(IFERROR(WORKDAY(Requests!$D$3:$AH$3,1,Holidays!$A$4:$A$60),0)=AA$3))&gt;0,"振休("&amp;TEXT(INDEX(Requests!$D$3:$AH$3,1,MATCH(1,(Requests!$D11:$AH11="休")*(Requests!$D$5:$AH$5="土日祝")*(IFERROR(WORKDAY(Requests!$D$3:$AH$3,1,Holidays!$A$4:$A$60),0)=AA$3),0)),"m/d")&amp;")",IF(AND(MOD(DAY(AA$3)+4-1,5)+1&lt;=AA$6,COUNTIF(W11:Z11,"日勤")&lt;Settings!$B$7),"日勤",""))))</x:f>
      </x:c>
      <x:c r="AB11" s="25" t="str">
        <x:f>IF(AB$3="","",IF(Requests!AB11="休","休",IF(SUMPRODUCT(--(Requests!$D11:$AH11="休"),--(Requests!$D$5:$AH$5="土日祝"),--(IFERROR(WORKDAY(Requests!$D$3:$AH$3,1,Holidays!$A$4:$A$60),0)=AB$3))&gt;0,"振休("&amp;TEXT(INDEX(Requests!$D$3:$AH$3,1,MATCH(1,(Requests!$D11:$AH11="休")*(Requests!$D$5:$AH$5="土日祝")*(IFERROR(WORKDAY(Requests!$D$3:$AH$3,1,Holidays!$A$4:$A$60),0)=AB$3),0)),"m/d")&amp;")",IF(AND(MOD(DAY(AB$3)+4-1,5)+1&lt;=AB$6,COUNTIF(X11:AA11,"日勤")&lt;Settings!$B$7),"日勤",""))))</x:f>
      </x:c>
      <x:c r="AC11" s="25" t="str">
        <x:f>IF(AC$3="","",IF(Requests!AC11="休","休",IF(SUMPRODUCT(--(Requests!$D11:$AH11="休"),--(Requests!$D$5:$AH$5="土日祝"),--(IFERROR(WORKDAY(Requests!$D$3:$AH$3,1,Holidays!$A$4:$A$60),0)=AC$3))&gt;0,"振休("&amp;TEXT(INDEX(Requests!$D$3:$AH$3,1,MATCH(1,(Requests!$D11:$AH11="休")*(Requests!$D$5:$AH$5="土日祝")*(IFERROR(WORKDAY(Requests!$D$3:$AH$3,1,Holidays!$A$4:$A$60),0)=AC$3),0)),"m/d")&amp;")",IF(AND(MOD(DAY(AC$3)+4-1,5)+1&lt;=AC$6,COUNTIF(Y11:AB11,"日勤")&lt;Settings!$B$7),"日勤",""))))</x:f>
      </x:c>
      <x:c r="AD11" s="25" t="str">
        <x:f>IF(AD$3="","",IF(Requests!AD11="休","休",IF(SUMPRODUCT(--(Requests!$D11:$AH11="休"),--(Requests!$D$5:$AH$5="土日祝"),--(IFERROR(WORKDAY(Requests!$D$3:$AH$3,1,Holidays!$A$4:$A$60),0)=AD$3))&gt;0,"振休("&amp;TEXT(INDEX(Requests!$D$3:$AH$3,1,MATCH(1,(Requests!$D11:$AH11="休")*(Requests!$D$5:$AH$5="土日祝")*(IFERROR(WORKDAY(Requests!$D$3:$AH$3,1,Holidays!$A$4:$A$60),0)=AD$3),0)),"m/d")&amp;")",IF(AND(MOD(DAY(AD$3)+4-1,5)+1&lt;=AD$6,COUNTIF(Z11:AC11,"日勤")&lt;Settings!$B$7),"日勤",""))))</x:f>
        <x:v>日勤</x:v>
      </x:c>
      <x:c r="AE11" s="25" t="str">
        <x:f>IF(AE$3="","",IF(Requests!AE11="休","休",IF(SUMPRODUCT(--(Requests!$D11:$AH11="休"),--(Requests!$D$5:$AH$5="土日祝"),--(IFERROR(WORKDAY(Requests!$D$3:$AH$3,1,Holidays!$A$4:$A$60),0)=AE$3))&gt;0,"振休("&amp;TEXT(INDEX(Requests!$D$3:$AH$3,1,MATCH(1,(Requests!$D11:$AH11="休")*(Requests!$D$5:$AH$5="土日祝")*(IFERROR(WORKDAY(Requests!$D$3:$AH$3,1,Holidays!$A$4:$A$60),0)=AE$3),0)),"m/d")&amp;")",IF(AND(MOD(DAY(AE$3)+4-1,5)+1&lt;=AE$6,COUNTIF(AA11:AD11,"日勤")&lt;Settings!$B$7),"日勤",""))))</x:f>
        <x:v>日勤</x:v>
      </x:c>
      <x:c r="AF11" s="25" t="str">
        <x:f>IF(AF$3="","",IF(Requests!AF11="休","休",IF(SUMPRODUCT(--(Requests!$D11:$AH11="休"),--(Requests!$D$5:$AH$5="土日祝"),--(IFERROR(WORKDAY(Requests!$D$3:$AH$3,1,Holidays!$A$4:$A$60),0)=AF$3))&gt;0,"振休("&amp;TEXT(INDEX(Requests!$D$3:$AH$3,1,MATCH(1,(Requests!$D11:$AH11="休")*(Requests!$D$5:$AH$5="土日祝")*(IFERROR(WORKDAY(Requests!$D$3:$AH$3,1,Holidays!$A$4:$A$60),0)=AF$3),0)),"m/d")&amp;")",IF(AND(MOD(DAY(AF$3)+4-1,5)+1&lt;=AF$6,COUNTIF(AB11:AE11,"日勤")&lt;Settings!$B$7),"日勤",""))))</x:f>
      </x:c>
      <x:c r="AG11" s="25" t="str">
        <x:f>IF(AG$3="","",IF(Requests!AG11="休","休",IF(SUMPRODUCT(--(Requests!$D11:$AH11="休"),--(Requests!$D$5:$AH$5="土日祝"),--(IFERROR(WORKDAY(Requests!$D$3:$AH$3,1,Holidays!$A$4:$A$60),0)=AG$3))&gt;0,"振休("&amp;TEXT(INDEX(Requests!$D$3:$AH$3,1,MATCH(1,(Requests!$D11:$AH11="休")*(Requests!$D$5:$AH$5="土日祝")*(IFERROR(WORKDAY(Requests!$D$3:$AH$3,1,Holidays!$A$4:$A$60),0)=AG$3),0)),"m/d")&amp;")",IF(AND(MOD(DAY(AG$3)+4-1,5)+1&lt;=AG$6,COUNTIF(AC11:AF11,"日勤")&lt;Settings!$B$7),"日勤",""))))</x:f>
      </x:c>
      <x:c r="AH11" s="25" t="str">
        <x:f>IF(AH$3="","",IF(Requests!AH11="休","休",IF(SUMPRODUCT(--(Requests!$D11:$AH11="休"),--(Requests!$D$5:$AH$5="土日祝"),--(IFERROR(WORKDAY(Requests!$D$3:$AH$3,1,Holidays!$A$4:$A$60),0)=AH$3))&gt;0,"振休("&amp;TEXT(INDEX(Requests!$D$3:$AH$3,1,MATCH(1,(Requests!$D11:$AH11="休")*(Requests!$D$5:$AH$5="土日祝")*(IFERROR(WORKDAY(Requests!$D$3:$AH$3,1,Holidays!$A$4:$A$60),0)=AH$3),0)),"m/d")&amp;")",IF(AND(MOD(DAY(AH$3)+4-1,5)+1&lt;=AH$6,COUNTIF(AD11:AG11,"日勤")&lt;Settings!$B$7),"日勤",""))))</x:f>
      </x:c>
    </x:row>
    <x:row r="12">
      <x:c r="A12" s="9"/>
      <x:c r="B12" s="9"/>
      <x:c r="C12" s="9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  <x:c r="AA12" s="25"/>
      <x:c r="AB12" s="25"/>
      <x:c r="AC12" s="25"/>
      <x:c r="AD12" s="25"/>
      <x:c r="AE12" s="25"/>
      <x:c r="AF12" s="25"/>
      <x:c r="AG12" s="25"/>
      <x:c r="AH12" s="25"/>
    </x:row>
    <x:row r="13">
      <x:c r="A13" s="11" t="str">
        <x:v>日別集計</x:v>
      </x:c>
      <x:c r="B13" s="11" t="str"/>
      <x:c r="C13" s="11" t="str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  <x:c r="AC13" s="17"/>
      <x:c r="AD13" s="17"/>
      <x:c r="AE13" s="17"/>
      <x:c r="AF13" s="17"/>
      <x:c r="AG13" s="17"/>
      <x:c r="AH13" s="17"/>
    </x:row>
    <x:row r="14">
      <x:c r="A14" s="10" t="str">
        <x:v>勤務人数</x:v>
      </x:c>
      <x:c r="B14" s="10" t="str"/>
      <x:c r="C14" s="10" t="str"/>
      <x:c r="D14" s="25" t="n">
        <x:f>IF(D$3="","",COUNTIF(D$7:D$11,"日勤"))</x:f>
        <x:v>2</x:v>
      </x:c>
      <x:c r="E14" s="25" t="n">
        <x:f>IF(E$3="","",COUNTIF(E$7:E$11,"日勤"))</x:f>
        <x:v>2</x:v>
      </x:c>
      <x:c r="F14" s="25" t="n">
        <x:f>IF(F$3="","",COUNTIF(F$7:F$11,"日勤"))</x:f>
        <x:v>2</x:v>
      </x:c>
      <x:c r="G14" s="25" t="n">
        <x:f>IF(G$3="","",COUNTIF(G$7:G$11,"日勤"))</x:f>
        <x:v>2</x:v>
      </x:c>
      <x:c r="H14" s="25" t="n">
        <x:f>IF(H$3="","",COUNTIF(H$7:H$11,"日勤"))</x:f>
        <x:v>2</x:v>
      </x:c>
      <x:c r="I14" s="25" t="n">
        <x:f>IF(I$3="","",COUNTIF(I$7:I$11,"日勤"))</x:f>
        <x:v>3</x:v>
      </x:c>
      <x:c r="J14" s="25" t="n">
        <x:f>IF(J$3="","",COUNTIF(J$7:J$11,"日勤"))</x:f>
        <x:v>3</x:v>
      </x:c>
      <x:c r="K14" s="25" t="n">
        <x:f>IF(K$3="","",COUNTIF(K$7:K$11,"日勤"))</x:f>
        <x:v>2</x:v>
      </x:c>
      <x:c r="L14" s="25" t="n">
        <x:f>IF(L$3="","",COUNTIF(L$7:L$11,"日勤"))</x:f>
        <x:v>2</x:v>
      </x:c>
      <x:c r="M14" s="25" t="n">
        <x:f>IF(M$3="","",COUNTIF(M$7:M$11,"日勤"))</x:f>
        <x:v>2</x:v>
      </x:c>
      <x:c r="N14" s="25" t="n">
        <x:f>IF(N$3="","",COUNTIF(N$7:N$11,"日勤"))</x:f>
        <x:v>2</x:v>
      </x:c>
      <x:c r="O14" s="25" t="n">
        <x:f>IF(O$3="","",COUNTIF(O$7:O$11,"日勤"))</x:f>
        <x:v>2</x:v>
      </x:c>
      <x:c r="P14" s="25" t="n">
        <x:f>IF(P$3="","",COUNTIF(P$7:P$11,"日勤"))</x:f>
        <x:v>3</x:v>
      </x:c>
      <x:c r="Q14" s="25" t="n">
        <x:f>IF(Q$3="","",COUNTIF(Q$7:Q$11,"日勤"))</x:f>
        <x:v>3</x:v>
      </x:c>
      <x:c r="R14" s="25" t="n">
        <x:f>IF(R$3="","",COUNTIF(R$7:R$11,"日勤"))</x:f>
        <x:v>2</x:v>
      </x:c>
      <x:c r="S14" s="25" t="n">
        <x:f>IF(S$3="","",COUNTIF(S$7:S$11,"日勤"))</x:f>
        <x:v>2</x:v>
      </x:c>
      <x:c r="T14" s="25" t="n">
        <x:f>IF(T$3="","",COUNTIF(T$7:T$11,"日勤"))</x:f>
        <x:v>2</x:v>
      </x:c>
      <x:c r="U14" s="25" t="n">
        <x:f>IF(U$3="","",COUNTIF(U$7:U$11,"日勤"))</x:f>
        <x:v>2</x:v>
      </x:c>
      <x:c r="V14" s="25" t="n">
        <x:f>IF(V$3="","",COUNTIF(V$7:V$11,"日勤"))</x:f>
        <x:v>2</x:v>
      </x:c>
      <x:c r="W14" s="25" t="n">
        <x:f>IF(W$3="","",COUNTIF(W$7:W$11,"日勤"))</x:f>
        <x:v>3</x:v>
      </x:c>
      <x:c r="X14" s="25" t="n">
        <x:f>IF(X$3="","",COUNTIF(X$7:X$11,"日勤"))</x:f>
        <x:v>3</x:v>
      </x:c>
      <x:c r="Y14" s="25" t="n">
        <x:f>IF(Y$3="","",COUNTIF(Y$7:Y$11,"日勤"))</x:f>
        <x:v>2</x:v>
      </x:c>
      <x:c r="Z14" s="25" t="n">
        <x:f>IF(Z$3="","",COUNTIF(Z$7:Z$11,"日勤"))</x:f>
        <x:v>2</x:v>
      </x:c>
      <x:c r="AA14" s="25" t="n">
        <x:f>IF(AA$3="","",COUNTIF(AA$7:AA$11,"日勤"))</x:f>
        <x:v>2</x:v>
      </x:c>
      <x:c r="AB14" s="25" t="n">
        <x:f>IF(AB$3="","",COUNTIF(AB$7:AB$11,"日勤"))</x:f>
        <x:v>2</x:v>
      </x:c>
      <x:c r="AC14" s="25" t="n">
        <x:f>IF(AC$3="","",COUNTIF(AC$7:AC$11,"日勤"))</x:f>
        <x:v>2</x:v>
      </x:c>
      <x:c r="AD14" s="25" t="n">
        <x:f>IF(AD$3="","",COUNTIF(AD$7:AD$11,"日勤"))</x:f>
        <x:v>3</x:v>
      </x:c>
      <x:c r="AE14" s="25" t="n">
        <x:f>IF(AE$3="","",COUNTIF(AE$7:AE$11,"日勤"))</x:f>
        <x:v>3</x:v>
      </x:c>
      <x:c r="AF14" s="25" t="n">
        <x:f>IF(AF$3="","",COUNTIF(AF$7:AF$11,"日勤"))</x:f>
        <x:v>2</x:v>
      </x:c>
      <x:c r="AG14" s="25" t="n">
        <x:f>IF(AG$3="","",COUNTIF(AG$7:AG$11,"日勤"))</x:f>
        <x:v>2</x:v>
      </x:c>
      <x:c r="AH14" s="25" t="str">
        <x:f>IF(AH$3="","",COUNTIF(AH$7:AH$11,"日勤"))</x:f>
      </x:c>
    </x:row>
    <x:row r="15">
      <x:c r="A15" s="10" t="str">
        <x:v>不足</x:v>
      </x:c>
      <x:c r="B15" s="10" t="str"/>
      <x:c r="C15" s="10" t="str"/>
      <x:c r="D15" s="25" t="n">
        <x:f>IF(D$3="","",MAX(0,D$6-D$14))</x:f>
        <x:v>0</x:v>
      </x:c>
      <x:c r="E15" s="25" t="n">
        <x:f>IF(E$3="","",MAX(0,E$6-E$14))</x:f>
        <x:v>0</x:v>
      </x:c>
      <x:c r="F15" s="25" t="n">
        <x:f>IF(F$3="","",MAX(0,F$6-F$14))</x:f>
        <x:v>0</x:v>
      </x:c>
      <x:c r="G15" s="25" t="n">
        <x:f>IF(G$3="","",MAX(0,G$6-G$14))</x:f>
        <x:v>0</x:v>
      </x:c>
      <x:c r="H15" s="25" t="n">
        <x:f>IF(H$3="","",MAX(0,H$6-H$14))</x:f>
        <x:v>0</x:v>
      </x:c>
      <x:c r="I15" s="25" t="n">
        <x:f>IF(I$3="","",MAX(0,I$6-I$14))</x:f>
        <x:v>0</x:v>
      </x:c>
      <x:c r="J15" s="25" t="n">
        <x:f>IF(J$3="","",MAX(0,J$6-J$14))</x:f>
        <x:v>0</x:v>
      </x:c>
      <x:c r="K15" s="25" t="n">
        <x:f>IF(K$3="","",MAX(0,K$6-K$14))</x:f>
        <x:v>0</x:v>
      </x:c>
      <x:c r="L15" s="25" t="n">
        <x:f>IF(L$3="","",MAX(0,L$6-L$14))</x:f>
        <x:v>0</x:v>
      </x:c>
      <x:c r="M15" s="25" t="n">
        <x:f>IF(M$3="","",MAX(0,M$6-M$14))</x:f>
        <x:v>0</x:v>
      </x:c>
      <x:c r="N15" s="25" t="n">
        <x:f>IF(N$3="","",MAX(0,N$6-N$14))</x:f>
        <x:v>0</x:v>
      </x:c>
      <x:c r="O15" s="25" t="n">
        <x:f>IF(O$3="","",MAX(0,O$6-O$14))</x:f>
        <x:v>0</x:v>
      </x:c>
      <x:c r="P15" s="25" t="n">
        <x:f>IF(P$3="","",MAX(0,P$6-P$14))</x:f>
        <x:v>0</x:v>
      </x:c>
      <x:c r="Q15" s="25" t="n">
        <x:f>IF(Q$3="","",MAX(0,Q$6-Q$14))</x:f>
        <x:v>0</x:v>
      </x:c>
      <x:c r="R15" s="25" t="n">
        <x:f>IF(R$3="","",MAX(0,R$6-R$14))</x:f>
        <x:v>0</x:v>
      </x:c>
      <x:c r="S15" s="25" t="n">
        <x:f>IF(S$3="","",MAX(0,S$6-S$14))</x:f>
        <x:v>0</x:v>
      </x:c>
      <x:c r="T15" s="25" t="n">
        <x:f>IF(T$3="","",MAX(0,T$6-T$14))</x:f>
        <x:v>0</x:v>
      </x:c>
      <x:c r="U15" s="25" t="n">
        <x:f>IF(U$3="","",MAX(0,U$6-U$14))</x:f>
        <x:v>0</x:v>
      </x:c>
      <x:c r="V15" s="25" t="n">
        <x:f>IF(V$3="","",MAX(0,V$6-V$14))</x:f>
        <x:v>0</x:v>
      </x:c>
      <x:c r="W15" s="25" t="n">
        <x:f>IF(W$3="","",MAX(0,W$6-W$14))</x:f>
        <x:v>0</x:v>
      </x:c>
      <x:c r="X15" s="25" t="n">
        <x:f>IF(X$3="","",MAX(0,X$6-X$14))</x:f>
        <x:v>0</x:v>
      </x:c>
      <x:c r="Y15" s="25" t="n">
        <x:f>IF(Y$3="","",MAX(0,Y$6-Y$14))</x:f>
        <x:v>0</x:v>
      </x:c>
      <x:c r="Z15" s="25" t="n">
        <x:f>IF(Z$3="","",MAX(0,Z$6-Z$14))</x:f>
        <x:v>0</x:v>
      </x:c>
      <x:c r="AA15" s="25" t="n">
        <x:f>IF(AA$3="","",MAX(0,AA$6-AA$14))</x:f>
        <x:v>0</x:v>
      </x:c>
      <x:c r="AB15" s="25" t="n">
        <x:f>IF(AB$3="","",MAX(0,AB$6-AB$14))</x:f>
        <x:v>0</x:v>
      </x:c>
      <x:c r="AC15" s="25" t="n">
        <x:f>IF(AC$3="","",MAX(0,AC$6-AC$14))</x:f>
        <x:v>0</x:v>
      </x:c>
      <x:c r="AD15" s="25" t="n">
        <x:f>IF(AD$3="","",MAX(0,AD$6-AD$14))</x:f>
        <x:v>0</x:v>
      </x:c>
      <x:c r="AE15" s="25" t="n">
        <x:f>IF(AE$3="","",MAX(0,AE$6-AE$14))</x:f>
        <x:v>0</x:v>
      </x:c>
      <x:c r="AF15" s="25" t="n">
        <x:f>IF(AF$3="","",MAX(0,AF$6-AF$14))</x:f>
        <x:v>0</x:v>
      </x:c>
      <x:c r="AG15" s="25" t="n">
        <x:f>IF(AG$3="","",MAX(0,AG$6-AG$14))</x:f>
        <x:v>0</x:v>
      </x:c>
      <x:c r="AH15" s="25" t="str">
        <x:f>IF(AH$3="","",MAX(0,AH$6-AH$14))</x:f>
      </x:c>
    </x:row>
  </x:sheetData>
  <x:mergeCells>
    <x:mergeCell ref="A1:AH1"/>
  </x:mergeCells>
  <x:conditionalFormatting sqref="D7:AH11">
    <x:cfRule type="containsText" dxfId="0" priority="1" operator="containsText" text="日勤"/>
    <x:cfRule type="containsText" dxfId="1" priority="2" operator="containsText" text="休"/>
    <x:cfRule type="containsText" dxfId="2" priority="3" operator="containsText" text="振休"/>
  </x:conditionalFormatting>
  <x:conditionalFormatting sqref="D15:AH15">
    <x:cfRule type="cellIs" dxfId="3" priority="4" operator="greater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7" max="7" width="16.25" hidden="0" customWidth="1"/>
    <x:col min="8" max="8" width="16.25" hidden="0" customWidth="1"/>
  </x:cols>
  <x:sheetData>
    <x:row r="1">
      <x:c r="A1" s="14" t="str">
        <x:v>月間集計</x:v>
      </x:c>
      <x:c r="B1" s="14"/>
      <x:c r="C1" s="14"/>
      <x:c r="D1" s="14"/>
      <x:c r="E1" s="14"/>
      <x:c r="F1" s="14"/>
      <x:c r="G1" s="14"/>
      <x:c r="H1" s="14"/>
    </x:row>
    <x:row r="3">
      <x:c r="A3" s="17" t="str">
        <x:v>スタッフ名</x:v>
      </x:c>
      <x:c r="B3" s="17" t="str">
        <x:v>日勤日数</x:v>
      </x:c>
      <x:c r="C3" s="17" t="str">
        <x:v>希望休日数</x:v>
      </x:c>
      <x:c r="D3" s="17" t="str">
        <x:v>土日祝休数</x:v>
      </x:c>
      <x:c r="E3" s="17" t="str">
        <x:v>土日祝日勤</x:v>
      </x:c>
      <x:c r="G3" s="17" t="str">
        <x:v>項目</x:v>
      </x:c>
      <x:c r="H3" s="17" t="str">
        <x:v>値</x:v>
      </x:c>
    </x:row>
    <x:row r="4">
      <x:c r="A4" s="9" t="str">
        <x:f>Settings!B10</x:f>
        <x:v>スタッフA</x:v>
      </x:c>
      <x:c r="B4" s="9" t="n">
        <x:f>Schedule!B7</x:f>
        <x:v>14</x:v>
      </x:c>
      <x:c r="C4" s="9" t="n">
        <x:f>Requests!B7</x:f>
        <x:v>0</x:v>
      </x:c>
      <x:c r="D4" s="9" t="n">
        <x:f>Requests!C7</x:f>
        <x:v>0</x:v>
      </x:c>
      <x:c r="E4" s="9" t="n">
        <x:f>Schedule!C7</x:f>
        <x:v>6</x:v>
      </x:c>
      <x:c r="G4" s="9" t="str">
        <x:v>平日必要人数</x:v>
      </x:c>
      <x:c r="H4" s="9" t="n">
        <x:f>Settings!B5</x:f>
        <x:v>2</x:v>
      </x:c>
    </x:row>
    <x:row r="5">
      <x:c r="A5" s="9" t="str">
        <x:f>Settings!B11</x:f>
        <x:v>スタッフB</x:v>
      </x:c>
      <x:c r="B5" s="9" t="n">
        <x:f>Schedule!B8</x:f>
        <x:v>14</x:v>
      </x:c>
      <x:c r="C5" s="9" t="n">
        <x:f>Requests!B8</x:f>
        <x:v>0</x:v>
      </x:c>
      <x:c r="D5" s="9" t="n">
        <x:f>Requests!C8</x:f>
        <x:v>0</x:v>
      </x:c>
      <x:c r="E5" s="9" t="n">
        <x:f>Schedule!C8</x:f>
        <x:v>5</x:v>
      </x:c>
      <x:c r="G5" s="9" t="str">
        <x:v>土日祝必要人数</x:v>
      </x:c>
      <x:c r="H5" s="9" t="n">
        <x:f>Settings!B6</x:f>
        <x:v>3</x:v>
      </x:c>
    </x:row>
    <x:row r="6">
      <x:c r="A6" s="9" t="str">
        <x:f>Settings!B12</x:f>
        <x:v>スタッフC</x:v>
      </x:c>
      <x:c r="B6" s="9" t="n">
        <x:f>Schedule!B9</x:f>
        <x:v>14</x:v>
      </x:c>
      <x:c r="C6" s="9" t="n">
        <x:f>Requests!B9</x:f>
        <x:v>0</x:v>
      </x:c>
      <x:c r="D6" s="9" t="n">
        <x:f>Requests!C9</x:f>
        <x:v>0</x:v>
      </x:c>
      <x:c r="E6" s="9" t="n">
        <x:f>Schedule!C9</x:f>
        <x:v>4</x:v>
      </x:c>
      <x:c r="G6" s="9" t="str">
        <x:v>最大連勤</x:v>
      </x:c>
      <x:c r="H6" s="9" t="n">
        <x:f>Settings!B7</x:f>
        <x:v>4</x:v>
      </x:c>
    </x:row>
    <x:row r="7">
      <x:c r="A7" s="9" t="str">
        <x:f>Settings!B13</x:f>
        <x:v>スタッフD</x:v>
      </x:c>
      <x:c r="B7" s="9" t="n">
        <x:f>Schedule!B10</x:f>
        <x:v>13</x:v>
      </x:c>
      <x:c r="C7" s="9" t="n">
        <x:f>Requests!B10</x:f>
        <x:v>0</x:v>
      </x:c>
      <x:c r="D7" s="9" t="n">
        <x:f>Requests!C10</x:f>
        <x:v>0</x:v>
      </x:c>
      <x:c r="E7" s="9" t="n">
        <x:f>Schedule!C10</x:f>
        <x:v>4</x:v>
      </x:c>
      <x:c r="G7" s="9" t="str">
        <x:v>不足日数</x:v>
      </x:c>
      <x:c r="H7" s="9" t="n">
        <x:f>COUNTIF(Schedule!D15:AH15,"&gt;0")</x:f>
        <x:v>0</x:v>
      </x:c>
    </x:row>
    <x:row r="8">
      <x:c r="A8" s="9" t="str">
        <x:f>Settings!B14</x:f>
        <x:v>スタッフE</x:v>
      </x:c>
      <x:c r="B8" s="9" t="n">
        <x:f>Schedule!B11</x:f>
        <x:v>13</x:v>
      </x:c>
      <x:c r="C8" s="9" t="n">
        <x:f>Requests!B11</x:f>
        <x:v>0</x:v>
      </x:c>
      <x:c r="D8" s="9" t="n">
        <x:f>Requests!C11</x:f>
        <x:v>0</x:v>
      </x:c>
      <x:c r="E8" s="9" t="n">
        <x:f>Schedule!C11</x:f>
        <x:v>5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cbc82200e79d44fd"/>
</x:worksheet>
</file>